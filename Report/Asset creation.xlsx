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36" windowWidth="22644" windowHeight="9228" activeTab="1"/>
  </bookViews>
  <sheets>
    <sheet name="data" sheetId="1" r:id="rId1"/>
    <sheet name="Zone Reg" sheetId="2" r:id="rId2"/>
  </sheets>
  <calcPr calcId="124519"/>
</workbook>
</file>

<file path=xl/calcChain.xml><?xml version="1.0" encoding="utf-8"?>
<calcChain xmlns="http://schemas.openxmlformats.org/spreadsheetml/2006/main">
  <c r="O2" i="1"/>
  <c r="N2"/>
  <c r="N3"/>
  <c r="O3" s="1"/>
  <c r="N4"/>
  <c r="O4" s="1"/>
  <c r="N5"/>
  <c r="O5" s="1"/>
  <c r="N6"/>
  <c r="O6" s="1"/>
  <c r="N7"/>
  <c r="O7" s="1"/>
  <c r="N8"/>
  <c r="O8" s="1"/>
  <c r="N9"/>
  <c r="O9" s="1"/>
  <c r="N10"/>
  <c r="O10" s="1"/>
  <c r="N11"/>
  <c r="O11" s="1"/>
  <c r="N12"/>
  <c r="O12" s="1"/>
  <c r="N13"/>
  <c r="O13" s="1"/>
  <c r="N14"/>
  <c r="O14" s="1"/>
  <c r="N15"/>
  <c r="O15" s="1"/>
  <c r="N16"/>
  <c r="O16" s="1"/>
  <c r="N17"/>
  <c r="O17" s="1"/>
  <c r="N18"/>
  <c r="O18" s="1"/>
  <c r="N19"/>
  <c r="O19" s="1"/>
  <c r="N20"/>
  <c r="O20" s="1"/>
  <c r="N21"/>
  <c r="O21" s="1"/>
  <c r="N22"/>
  <c r="O22" s="1"/>
  <c r="N23"/>
  <c r="O23" s="1"/>
  <c r="N24"/>
  <c r="O24" s="1"/>
  <c r="N25"/>
  <c r="O25" s="1"/>
  <c r="N26"/>
  <c r="O26" s="1"/>
  <c r="N27"/>
  <c r="O27" s="1"/>
  <c r="N28"/>
  <c r="O28" s="1"/>
  <c r="N29"/>
  <c r="O29" s="1"/>
  <c r="N30"/>
  <c r="O30" s="1"/>
  <c r="N31"/>
  <c r="O31" s="1"/>
  <c r="N32"/>
  <c r="O32" s="1"/>
  <c r="N33"/>
  <c r="O33" s="1"/>
  <c r="N34"/>
  <c r="O34" s="1"/>
  <c r="N35"/>
  <c r="O35" s="1"/>
  <c r="N36"/>
  <c r="O36" s="1"/>
  <c r="N37"/>
  <c r="O37" s="1"/>
  <c r="N38"/>
  <c r="O38" s="1"/>
  <c r="N39"/>
  <c r="O39" s="1"/>
  <c r="N40"/>
  <c r="O40" s="1"/>
  <c r="N41"/>
  <c r="O41" s="1"/>
  <c r="N42"/>
  <c r="O42" s="1"/>
  <c r="N43"/>
  <c r="O43" s="1"/>
  <c r="N44"/>
  <c r="O44" s="1"/>
  <c r="N45"/>
  <c r="O45" s="1"/>
  <c r="N46"/>
  <c r="O46" s="1"/>
  <c r="N47"/>
  <c r="O47" s="1"/>
  <c r="N48"/>
  <c r="O48" s="1"/>
  <c r="N49"/>
  <c r="O49" s="1"/>
  <c r="N50"/>
  <c r="O50" s="1"/>
  <c r="N51"/>
  <c r="O51" s="1"/>
  <c r="N52"/>
  <c r="O52" s="1"/>
  <c r="N53"/>
  <c r="O53" s="1"/>
  <c r="N54"/>
  <c r="O54" s="1"/>
  <c r="N55"/>
  <c r="O55" s="1"/>
  <c r="N56"/>
  <c r="O56" s="1"/>
  <c r="N57"/>
  <c r="O57" s="1"/>
  <c r="N58"/>
  <c r="O58" s="1"/>
  <c r="N59"/>
  <c r="O59" s="1"/>
  <c r="N60"/>
  <c r="O60" s="1"/>
  <c r="N61"/>
  <c r="O61" s="1"/>
  <c r="N62"/>
  <c r="O62" s="1"/>
  <c r="N63"/>
  <c r="O63" s="1"/>
  <c r="N64"/>
  <c r="O64" s="1"/>
  <c r="N65"/>
  <c r="O65" s="1"/>
  <c r="N66"/>
  <c r="O66" s="1"/>
  <c r="N67"/>
  <c r="O67" s="1"/>
  <c r="N68"/>
  <c r="O68" s="1"/>
  <c r="N69"/>
  <c r="O69" s="1"/>
  <c r="N70"/>
  <c r="O70" s="1"/>
  <c r="N71"/>
  <c r="O71" s="1"/>
  <c r="N72"/>
  <c r="O72" s="1"/>
  <c r="N73"/>
  <c r="O73" s="1"/>
  <c r="N74"/>
  <c r="O74" s="1"/>
  <c r="N75"/>
  <c r="O75" s="1"/>
  <c r="N76"/>
  <c r="O76" s="1"/>
  <c r="N77"/>
  <c r="O77" s="1"/>
  <c r="N78"/>
  <c r="O78" s="1"/>
  <c r="N79"/>
  <c r="O79" s="1"/>
  <c r="N80"/>
  <c r="O80" s="1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2"/>
  <c r="B23" i="2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B1"/>
</calcChain>
</file>

<file path=xl/sharedStrings.xml><?xml version="1.0" encoding="utf-8"?>
<sst xmlns="http://schemas.openxmlformats.org/spreadsheetml/2006/main" count="123" uniqueCount="123">
  <si>
    <t xml:space="preserve"> 2026-02 </t>
  </si>
  <si>
    <t xml:space="preserve"> 2026-01 </t>
  </si>
  <si>
    <t xml:space="preserve"> 2025-12 </t>
  </si>
  <si>
    <t xml:space="preserve"> 2025-11 </t>
  </si>
  <si>
    <t xml:space="preserve"> 2025-10 </t>
  </si>
  <si>
    <t xml:space="preserve"> 2025-09 </t>
  </si>
  <si>
    <t xml:space="preserve"> ALIPURDUAR DIVN.         </t>
  </si>
  <si>
    <t xml:space="preserve"> ARAMBAGH DIVN.           </t>
  </si>
  <si>
    <t xml:space="preserve"> ASANSOL DIVN.            </t>
  </si>
  <si>
    <t xml:space="preserve"> BADURIA DIVN.            </t>
  </si>
  <si>
    <t xml:space="preserve"> BALURGHAT DIVISION       </t>
  </si>
  <si>
    <t xml:space="preserve"> BANKURA DIVN.            </t>
  </si>
  <si>
    <t xml:space="preserve"> BARASAT DIVN.            </t>
  </si>
  <si>
    <t xml:space="preserve"> BARRACKPUR DIVN.         </t>
  </si>
  <si>
    <t xml:space="preserve"> BARUIPUR DIVN.           </t>
  </si>
  <si>
    <t xml:space="preserve"> BASIRHAT DIVN.           </t>
  </si>
  <si>
    <t xml:space="preserve"> BEHALA DIVN.             </t>
  </si>
  <si>
    <t xml:space="preserve"> BELDA DIVN.              </t>
  </si>
  <si>
    <t xml:space="preserve"> BERHAMPORE DIVN.         </t>
  </si>
  <si>
    <t xml:space="preserve"> BHANGAR DIVISION         </t>
  </si>
  <si>
    <t xml:space="preserve"> BIDHANNAGAR-I DIVN.      </t>
  </si>
  <si>
    <t xml:space="preserve"> BIDHANNAGAR-II DIVN.     </t>
  </si>
  <si>
    <t xml:space="preserve"> BISHNUPUR DIVN.          </t>
  </si>
  <si>
    <t xml:space="preserve"> BOLPUR DIVN.             </t>
  </si>
  <si>
    <t xml:space="preserve"> BONGAON DIVN.            </t>
  </si>
  <si>
    <t xml:space="preserve"> BUNIADPUR DIVISION       </t>
  </si>
  <si>
    <t xml:space="preserve"> BURDWAN NORTH DIVN.      </t>
  </si>
  <si>
    <t xml:space="preserve"> BURDWAN SOUTH DIVN.      </t>
  </si>
  <si>
    <t xml:space="preserve"> CANNING DIVISON          </t>
  </si>
  <si>
    <t xml:space="preserve"> CHANCHAL DIVISION        </t>
  </si>
  <si>
    <t xml:space="preserve"> CHANDANNAGAR DIVN.       </t>
  </si>
  <si>
    <t xml:space="preserve"> CONTAI DIVN.             </t>
  </si>
  <si>
    <t xml:space="preserve"> COOCHBEHAR DIVN.         </t>
  </si>
  <si>
    <t xml:space="preserve"> DARJEELING DIVN.         </t>
  </si>
  <si>
    <t xml:space="preserve"> DIAMOND HARBOUR DIVN.    </t>
  </si>
  <si>
    <t xml:space="preserve"> DINHATA DIVISION         </t>
  </si>
  <si>
    <t xml:space="preserve"> DOMKAL DIVN.             </t>
  </si>
  <si>
    <t xml:space="preserve"> DURGAPUR DIVN.           </t>
  </si>
  <si>
    <t xml:space="preserve"> EGRA DIVN.               </t>
  </si>
  <si>
    <t xml:space="preserve"> GARIA DIVN.              </t>
  </si>
  <si>
    <t xml:space="preserve"> GAZOLE DIVN.             </t>
  </si>
  <si>
    <t xml:space="preserve"> GHATAL DIVN.             </t>
  </si>
  <si>
    <t xml:space="preserve"> HABRA DIVN.              </t>
  </si>
  <si>
    <t xml:space="preserve"> HALDIA DIVN.             </t>
  </si>
  <si>
    <t xml:space="preserve"> HOWRAH - 2 DIVN.         </t>
  </si>
  <si>
    <t xml:space="preserve"> HOWRAH-I DIVN.           </t>
  </si>
  <si>
    <t xml:space="preserve"> ISLAMPUR DIVN.           </t>
  </si>
  <si>
    <t xml:space="preserve"> JALPAIGURI DIVN.         </t>
  </si>
  <si>
    <t xml:space="preserve"> JHARGRAM DIVN.           </t>
  </si>
  <si>
    <t xml:space="preserve"> JIAGANJ DIVN.            </t>
  </si>
  <si>
    <t xml:space="preserve"> JOYNAGAR DIVISION        </t>
  </si>
  <si>
    <t xml:space="preserve"> KAKDWIP DIVN.            </t>
  </si>
  <si>
    <t xml:space="preserve"> KALIMPONG DIVN.          </t>
  </si>
  <si>
    <t xml:space="preserve"> KALNA DIVN.              </t>
  </si>
  <si>
    <t xml:space="preserve"> KALYANI DIVN.            </t>
  </si>
  <si>
    <t xml:space="preserve"> KANDI DIVN.              </t>
  </si>
  <si>
    <t xml:space="preserve"> KATWA DIVN.              </t>
  </si>
  <si>
    <t xml:space="preserve"> KHARAGPUR DIVN.          </t>
  </si>
  <si>
    <t xml:space="preserve"> KHATRA DIVN.             </t>
  </si>
  <si>
    <t xml:space="preserve"> KRISHNANAGAR DIVN.       </t>
  </si>
  <si>
    <t xml:space="preserve"> KURSEONG DIVN.           </t>
  </si>
  <si>
    <t xml:space="preserve"> MALDA DIVN.              </t>
  </si>
  <si>
    <t xml:space="preserve"> MAL DIVN.                </t>
  </si>
  <si>
    <t xml:space="preserve"> MATHABHANGA DIVN.        </t>
  </si>
  <si>
    <t xml:space="preserve"> MEMARI DIVN.             </t>
  </si>
  <si>
    <t xml:space="preserve"> MIDNAPUR DIVN.           </t>
  </si>
  <si>
    <t xml:space="preserve"> MOGRA DIVN.              </t>
  </si>
  <si>
    <t xml:space="preserve"> NAIHATI DIVN.            </t>
  </si>
  <si>
    <t xml:space="preserve"> NAKASHIPARA DIVN.        </t>
  </si>
  <si>
    <t xml:space="preserve"> NEWTOWN DIVISION         </t>
  </si>
  <si>
    <t xml:space="preserve"> PURULIA DIVN.            </t>
  </si>
  <si>
    <t xml:space="preserve"> RAGHUNATHGANJ DIVN.      </t>
  </si>
  <si>
    <t xml:space="preserve"> RAGHUNATHPUR DIVN.       </t>
  </si>
  <si>
    <t xml:space="preserve"> RAIGANJ DIVISION         </t>
  </si>
  <si>
    <t xml:space="preserve"> RAMPURHAT DIVN.          </t>
  </si>
  <si>
    <t xml:space="preserve"> RANAGHAT DIVISION OFFICE </t>
  </si>
  <si>
    <t xml:space="preserve"> SERAMPORE DIVN.          </t>
  </si>
  <si>
    <t xml:space="preserve"> SILIGURI DIVN.           </t>
  </si>
  <si>
    <t xml:space="preserve"> SILIGURI SUB-URBAN DIVN. </t>
  </si>
  <si>
    <t xml:space="preserve"> SINGUR-HARIPAL DIVN.     </t>
  </si>
  <si>
    <t xml:space="preserve"> SURI DIVN.               </t>
  </si>
  <si>
    <t xml:space="preserve"> TAMLUK DIVN.             </t>
  </si>
  <si>
    <t xml:space="preserve"> TARAKESWAR DIVN.         </t>
  </si>
  <si>
    <t xml:space="preserve"> TEHATTA DIVN.            </t>
  </si>
  <si>
    <t xml:space="preserve"> ULUBERIA DIVN.           </t>
  </si>
  <si>
    <t>24-PARGANAS (SOUTH)</t>
  </si>
  <si>
    <t>BIDHANNAGAR</t>
  </si>
  <si>
    <t>HOWRAH</t>
  </si>
  <si>
    <t>24-PARGANAS (NORTH)</t>
  </si>
  <si>
    <t>PASCHIM MEDINIPUR</t>
  </si>
  <si>
    <t>PURBA MEDINIPUR</t>
  </si>
  <si>
    <t>BANKURA</t>
  </si>
  <si>
    <t>PURULIA</t>
  </si>
  <si>
    <t>JHARGRAM</t>
  </si>
  <si>
    <t>MURSHIDABAD</t>
  </si>
  <si>
    <t>NADIA</t>
  </si>
  <si>
    <t>DARJEELING</t>
  </si>
  <si>
    <t>JALPAIGURI</t>
  </si>
  <si>
    <t>COOCHBEHAR</t>
  </si>
  <si>
    <t>ALIPURDUAR</t>
  </si>
  <si>
    <t>KALIMPONG</t>
  </si>
  <si>
    <t>PURBA BURDWAN</t>
  </si>
  <si>
    <t>BIRBHUM</t>
  </si>
  <si>
    <t>HOOGHLY</t>
  </si>
  <si>
    <t>PASCHIM BURDWAN</t>
  </si>
  <si>
    <t>MALDA</t>
  </si>
  <si>
    <t>UTTAR DINAJPUR</t>
  </si>
  <si>
    <t>DAKSHIN DINAJPUR</t>
  </si>
  <si>
    <t>reg_cd</t>
  </si>
  <si>
    <t>Region</t>
  </si>
  <si>
    <t>Division</t>
  </si>
  <si>
    <t>zone_cd</t>
  </si>
  <si>
    <t xml:space="preserve"> div_cd  </t>
  </si>
  <si>
    <t>Kolkata</t>
  </si>
  <si>
    <t>Midnapore</t>
  </si>
  <si>
    <t>Berhampore</t>
  </si>
  <si>
    <t>Siliguri</t>
  </si>
  <si>
    <t>Bardhaman</t>
  </si>
  <si>
    <t>Malda</t>
  </si>
  <si>
    <t>Zone</t>
  </si>
  <si>
    <t>Sl No</t>
  </si>
  <si>
    <t>Total</t>
  </si>
  <si>
    <t>Monthly average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</si>
</sst>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10" xfId="0" applyBorder="1"/>
    <xf numFmtId="0" fontId="0" fillId="0" borderId="10" xfId="0" applyNumberFormat="1" applyBorder="1"/>
    <xf numFmtId="0" fontId="16" fillId="0" borderId="10" xfId="0" applyFont="1" applyBorder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1" xfId="0" applyFont="1" applyFill="1" applyBorder="1" applyAlignment="1">
      <alignment vertical="center" wrapText="1"/>
    </xf>
    <xf numFmtId="0" fontId="0" fillId="0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workbookViewId="0">
      <selection activeCell="Q18" sqref="Q18"/>
    </sheetView>
  </sheetViews>
  <sheetFormatPr defaultRowHeight="14.4"/>
  <cols>
    <col min="2" max="2" width="13" hidden="1" customWidth="1"/>
    <col min="3" max="3" width="11.109375" bestFit="1" customWidth="1"/>
    <col min="4" max="4" width="0" hidden="1" customWidth="1"/>
    <col min="5" max="5" width="20.109375" bestFit="1" customWidth="1"/>
    <col min="6" max="6" width="26.109375" bestFit="1" customWidth="1"/>
    <col min="15" max="15" width="9.6640625" customWidth="1"/>
  </cols>
  <sheetData>
    <row r="1" spans="1:15" ht="28.8">
      <c r="A1" s="4" t="s">
        <v>120</v>
      </c>
      <c r="B1" s="4" t="s">
        <v>111</v>
      </c>
      <c r="C1" s="4" t="s">
        <v>119</v>
      </c>
      <c r="D1" s="4" t="s">
        <v>108</v>
      </c>
      <c r="E1" s="4" t="s">
        <v>109</v>
      </c>
      <c r="F1" s="4" t="s">
        <v>110</v>
      </c>
      <c r="G1" s="4" t="s">
        <v>112</v>
      </c>
      <c r="H1" s="4" t="s">
        <v>0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5" t="s">
        <v>121</v>
      </c>
      <c r="O1" s="6" t="s">
        <v>122</v>
      </c>
    </row>
    <row r="2" spans="1:15">
      <c r="A2" s="2">
        <v>1</v>
      </c>
      <c r="B2" s="3">
        <v>31</v>
      </c>
      <c r="C2" s="2" t="str">
        <f>VLOOKUP(B2,'Zone Reg'!K:L,2,0)</f>
        <v>Kolkata</v>
      </c>
      <c r="D2" s="3">
        <v>311</v>
      </c>
      <c r="E2" s="2" t="str">
        <f>VLOOKUP(D2,'Zone Reg'!A:C,3,0)</f>
        <v>24-PARGANAS (SOUTH)</v>
      </c>
      <c r="F2" s="2" t="s">
        <v>16</v>
      </c>
      <c r="G2" s="2">
        <v>3112000</v>
      </c>
      <c r="H2" s="2">
        <v>39</v>
      </c>
      <c r="I2" s="2">
        <v>13</v>
      </c>
      <c r="J2" s="2">
        <v>14</v>
      </c>
      <c r="K2" s="2">
        <v>38</v>
      </c>
      <c r="L2" s="2">
        <v>4</v>
      </c>
      <c r="M2" s="2">
        <v>7</v>
      </c>
      <c r="N2" s="2">
        <f t="shared" ref="N2:N66" si="0">SUM(H2:M2)</f>
        <v>115</v>
      </c>
      <c r="O2" s="2">
        <f>ROUND(N2/6,0)</f>
        <v>19</v>
      </c>
    </row>
    <row r="3" spans="1:15">
      <c r="A3" s="2">
        <v>2</v>
      </c>
      <c r="B3" s="3">
        <v>31</v>
      </c>
      <c r="C3" s="2" t="str">
        <f>VLOOKUP(B3,'Zone Reg'!K:L,2,0)</f>
        <v>Kolkata</v>
      </c>
      <c r="D3" s="3">
        <v>311</v>
      </c>
      <c r="E3" s="2" t="str">
        <f>VLOOKUP(D3,'Zone Reg'!A:C,3,0)</f>
        <v>24-PARGANAS (SOUTH)</v>
      </c>
      <c r="F3" s="2" t="s">
        <v>14</v>
      </c>
      <c r="G3" s="2">
        <v>3113000</v>
      </c>
      <c r="H3" s="2">
        <v>15</v>
      </c>
      <c r="I3" s="2">
        <v>30</v>
      </c>
      <c r="J3" s="2">
        <v>17</v>
      </c>
      <c r="K3" s="2">
        <v>14</v>
      </c>
      <c r="L3" s="2">
        <v>11</v>
      </c>
      <c r="M3" s="2">
        <v>8</v>
      </c>
      <c r="N3" s="2">
        <f t="shared" si="0"/>
        <v>95</v>
      </c>
      <c r="O3" s="2">
        <f t="shared" ref="O3:O66" si="1">ROUND(N3/6,0)</f>
        <v>16</v>
      </c>
    </row>
    <row r="4" spans="1:15">
      <c r="A4" s="2">
        <v>3</v>
      </c>
      <c r="B4" s="3">
        <v>31</v>
      </c>
      <c r="C4" s="2" t="str">
        <f>VLOOKUP(B4,'Zone Reg'!K:L,2,0)</f>
        <v>Kolkata</v>
      </c>
      <c r="D4" s="3">
        <v>311</v>
      </c>
      <c r="E4" s="2" t="str">
        <f>VLOOKUP(D4,'Zone Reg'!A:C,3,0)</f>
        <v>24-PARGANAS (SOUTH)</v>
      </c>
      <c r="F4" s="2" t="s">
        <v>39</v>
      </c>
      <c r="G4" s="2">
        <v>3115000</v>
      </c>
      <c r="H4" s="2">
        <v>38</v>
      </c>
      <c r="I4" s="2">
        <v>40</v>
      </c>
      <c r="J4" s="2">
        <v>31</v>
      </c>
      <c r="K4" s="2">
        <v>7</v>
      </c>
      <c r="L4" s="2">
        <v>16</v>
      </c>
      <c r="M4" s="2">
        <v>29</v>
      </c>
      <c r="N4" s="2">
        <f t="shared" si="0"/>
        <v>161</v>
      </c>
      <c r="O4" s="2">
        <f t="shared" si="1"/>
        <v>27</v>
      </c>
    </row>
    <row r="5" spans="1:15">
      <c r="A5" s="2">
        <v>4</v>
      </c>
      <c r="B5" s="3">
        <v>31</v>
      </c>
      <c r="C5" s="2" t="str">
        <f>VLOOKUP(B5,'Zone Reg'!K:L,2,0)</f>
        <v>Kolkata</v>
      </c>
      <c r="D5" s="3">
        <v>311</v>
      </c>
      <c r="E5" s="2" t="str">
        <f>VLOOKUP(D5,'Zone Reg'!A:C,3,0)</f>
        <v>24-PARGANAS (SOUTH)</v>
      </c>
      <c r="F5" s="2" t="s">
        <v>50</v>
      </c>
      <c r="G5" s="2">
        <v>3116000</v>
      </c>
      <c r="H5" s="2">
        <v>16</v>
      </c>
      <c r="I5" s="2">
        <v>1</v>
      </c>
      <c r="J5" s="2">
        <v>10</v>
      </c>
      <c r="K5" s="2">
        <v>6</v>
      </c>
      <c r="L5" s="2">
        <v>1</v>
      </c>
      <c r="M5" s="2">
        <v>0</v>
      </c>
      <c r="N5" s="2">
        <f t="shared" si="0"/>
        <v>34</v>
      </c>
      <c r="O5" s="2">
        <f t="shared" si="1"/>
        <v>6</v>
      </c>
    </row>
    <row r="6" spans="1:15">
      <c r="A6" s="2">
        <v>5</v>
      </c>
      <c r="B6" s="3">
        <v>31</v>
      </c>
      <c r="C6" s="2" t="str">
        <f>VLOOKUP(B6,'Zone Reg'!K:L,2,0)</f>
        <v>Kolkata</v>
      </c>
      <c r="D6" s="3">
        <v>311</v>
      </c>
      <c r="E6" s="2" t="str">
        <f>VLOOKUP(D6,'Zone Reg'!A:C,3,0)</f>
        <v>24-PARGANAS (SOUTH)</v>
      </c>
      <c r="F6" s="2" t="s">
        <v>34</v>
      </c>
      <c r="G6" s="2">
        <v>3117000</v>
      </c>
      <c r="H6" s="2">
        <v>5</v>
      </c>
      <c r="I6" s="2">
        <v>2</v>
      </c>
      <c r="J6" s="2">
        <v>2</v>
      </c>
      <c r="K6" s="2">
        <v>3</v>
      </c>
      <c r="L6" s="2">
        <v>0</v>
      </c>
      <c r="M6" s="2">
        <v>5</v>
      </c>
      <c r="N6" s="2">
        <f t="shared" si="0"/>
        <v>17</v>
      </c>
      <c r="O6" s="2">
        <f t="shared" si="1"/>
        <v>3</v>
      </c>
    </row>
    <row r="7" spans="1:15">
      <c r="A7" s="2">
        <v>6</v>
      </c>
      <c r="B7" s="3">
        <v>31</v>
      </c>
      <c r="C7" s="2" t="str">
        <f>VLOOKUP(B7,'Zone Reg'!K:L,2,0)</f>
        <v>Kolkata</v>
      </c>
      <c r="D7" s="3">
        <v>311</v>
      </c>
      <c r="E7" s="2" t="str">
        <f>VLOOKUP(D7,'Zone Reg'!A:C,3,0)</f>
        <v>24-PARGANAS (SOUTH)</v>
      </c>
      <c r="F7" s="2" t="s">
        <v>51</v>
      </c>
      <c r="G7" s="2">
        <v>3118000</v>
      </c>
      <c r="H7" s="2">
        <v>8</v>
      </c>
      <c r="I7" s="2">
        <v>18</v>
      </c>
      <c r="J7" s="2">
        <v>9</v>
      </c>
      <c r="K7" s="2">
        <v>7</v>
      </c>
      <c r="L7" s="2">
        <v>1</v>
      </c>
      <c r="M7" s="2">
        <v>19</v>
      </c>
      <c r="N7" s="2">
        <f t="shared" si="0"/>
        <v>62</v>
      </c>
      <c r="O7" s="2">
        <f t="shared" si="1"/>
        <v>10</v>
      </c>
    </row>
    <row r="8" spans="1:15">
      <c r="A8" s="2">
        <v>7</v>
      </c>
      <c r="B8" s="3">
        <v>31</v>
      </c>
      <c r="C8" s="2" t="str">
        <f>VLOOKUP(B8,'Zone Reg'!K:L,2,0)</f>
        <v>Kolkata</v>
      </c>
      <c r="D8" s="3">
        <v>311</v>
      </c>
      <c r="E8" s="2" t="str">
        <f>VLOOKUP(D8,'Zone Reg'!A:C,3,0)</f>
        <v>24-PARGANAS (SOUTH)</v>
      </c>
      <c r="F8" s="2" t="s">
        <v>28</v>
      </c>
      <c r="G8" s="2">
        <v>3119000</v>
      </c>
      <c r="H8" s="2">
        <v>2</v>
      </c>
      <c r="I8" s="2">
        <v>9</v>
      </c>
      <c r="J8" s="2">
        <v>5</v>
      </c>
      <c r="K8" s="2">
        <v>1</v>
      </c>
      <c r="L8" s="2">
        <v>0</v>
      </c>
      <c r="M8" s="2">
        <v>0</v>
      </c>
      <c r="N8" s="2">
        <f t="shared" si="0"/>
        <v>17</v>
      </c>
      <c r="O8" s="2">
        <f t="shared" si="1"/>
        <v>3</v>
      </c>
    </row>
    <row r="9" spans="1:15">
      <c r="A9" s="2">
        <v>8</v>
      </c>
      <c r="B9" s="3">
        <v>31</v>
      </c>
      <c r="C9" s="2" t="str">
        <f>VLOOKUP(B9,'Zone Reg'!K:L,2,0)</f>
        <v>Kolkata</v>
      </c>
      <c r="D9" s="3">
        <v>312</v>
      </c>
      <c r="E9" s="2" t="str">
        <f>VLOOKUP(D9,'Zone Reg'!A:C,3,0)</f>
        <v>BIDHANNAGAR</v>
      </c>
      <c r="F9" s="2" t="s">
        <v>20</v>
      </c>
      <c r="G9" s="2">
        <v>3122000</v>
      </c>
      <c r="H9" s="2">
        <v>1</v>
      </c>
      <c r="I9" s="2">
        <v>1</v>
      </c>
      <c r="J9" s="2">
        <v>3</v>
      </c>
      <c r="K9" s="2">
        <v>2</v>
      </c>
      <c r="L9" s="2">
        <v>0</v>
      </c>
      <c r="M9" s="2">
        <v>1</v>
      </c>
      <c r="N9" s="2">
        <f t="shared" si="0"/>
        <v>8</v>
      </c>
      <c r="O9" s="2">
        <f t="shared" si="1"/>
        <v>1</v>
      </c>
    </row>
    <row r="10" spans="1:15">
      <c r="A10" s="2">
        <v>9</v>
      </c>
      <c r="B10" s="3">
        <v>31</v>
      </c>
      <c r="C10" s="2" t="str">
        <f>VLOOKUP(B10,'Zone Reg'!K:L,2,0)</f>
        <v>Kolkata</v>
      </c>
      <c r="D10" s="3">
        <v>312</v>
      </c>
      <c r="E10" s="2" t="str">
        <f>VLOOKUP(D10,'Zone Reg'!A:C,3,0)</f>
        <v>BIDHANNAGAR</v>
      </c>
      <c r="F10" s="2" t="s">
        <v>21</v>
      </c>
      <c r="G10" s="2">
        <v>3123000</v>
      </c>
      <c r="H10" s="2">
        <v>8</v>
      </c>
      <c r="I10" s="2">
        <v>12</v>
      </c>
      <c r="J10" s="2">
        <v>7</v>
      </c>
      <c r="K10" s="2">
        <v>1</v>
      </c>
      <c r="L10" s="2">
        <v>3</v>
      </c>
      <c r="M10" s="2">
        <v>10</v>
      </c>
      <c r="N10" s="2">
        <f t="shared" si="0"/>
        <v>41</v>
      </c>
      <c r="O10" s="2">
        <f t="shared" si="1"/>
        <v>7</v>
      </c>
    </row>
    <row r="11" spans="1:15">
      <c r="A11" s="2">
        <v>10</v>
      </c>
      <c r="B11" s="3">
        <v>31</v>
      </c>
      <c r="C11" s="2" t="str">
        <f>VLOOKUP(B11,'Zone Reg'!K:L,2,0)</f>
        <v>Kolkata</v>
      </c>
      <c r="D11" s="3">
        <v>312</v>
      </c>
      <c r="E11" s="2" t="str">
        <f>VLOOKUP(D11,'Zone Reg'!A:C,3,0)</f>
        <v>BIDHANNAGAR</v>
      </c>
      <c r="F11" s="2" t="s">
        <v>19</v>
      </c>
      <c r="G11" s="2">
        <v>3124000</v>
      </c>
      <c r="H11" s="2">
        <v>14</v>
      </c>
      <c r="I11" s="2">
        <v>7</v>
      </c>
      <c r="J11" s="2">
        <v>8</v>
      </c>
      <c r="K11" s="2">
        <v>3</v>
      </c>
      <c r="L11" s="2">
        <v>0</v>
      </c>
      <c r="M11" s="2">
        <v>11</v>
      </c>
      <c r="N11" s="2">
        <f t="shared" si="0"/>
        <v>43</v>
      </c>
      <c r="O11" s="2">
        <f t="shared" si="1"/>
        <v>7</v>
      </c>
    </row>
    <row r="12" spans="1:15">
      <c r="A12" s="2">
        <v>11</v>
      </c>
      <c r="B12" s="3">
        <v>31</v>
      </c>
      <c r="C12" s="2" t="str">
        <f>VLOOKUP(B12,'Zone Reg'!K:L,2,0)</f>
        <v>Kolkata</v>
      </c>
      <c r="D12" s="3">
        <v>312</v>
      </c>
      <c r="E12" s="2" t="str">
        <f>VLOOKUP(D12,'Zone Reg'!A:C,3,0)</f>
        <v>BIDHANNAGAR</v>
      </c>
      <c r="F12" s="2" t="s">
        <v>69</v>
      </c>
      <c r="G12" s="2">
        <v>3125000</v>
      </c>
      <c r="H12" s="2">
        <v>14</v>
      </c>
      <c r="I12" s="2">
        <v>17</v>
      </c>
      <c r="J12" s="2">
        <v>4</v>
      </c>
      <c r="K12" s="2">
        <v>8</v>
      </c>
      <c r="L12" s="2">
        <v>4</v>
      </c>
      <c r="M12" s="2">
        <v>10</v>
      </c>
      <c r="N12" s="2">
        <f t="shared" si="0"/>
        <v>57</v>
      </c>
      <c r="O12" s="2">
        <f t="shared" si="1"/>
        <v>10</v>
      </c>
    </row>
    <row r="13" spans="1:15">
      <c r="A13" s="2">
        <v>12</v>
      </c>
      <c r="B13" s="3">
        <v>31</v>
      </c>
      <c r="C13" s="2" t="str">
        <f>VLOOKUP(B13,'Zone Reg'!K:L,2,0)</f>
        <v>Kolkata</v>
      </c>
      <c r="D13" s="3">
        <v>313</v>
      </c>
      <c r="E13" s="2" t="str">
        <f>VLOOKUP(D13,'Zone Reg'!A:C,3,0)</f>
        <v>HOWRAH</v>
      </c>
      <c r="F13" s="2" t="s">
        <v>45</v>
      </c>
      <c r="G13" s="2">
        <v>3132000</v>
      </c>
      <c r="H13" s="2">
        <v>15</v>
      </c>
      <c r="I13" s="2">
        <v>5</v>
      </c>
      <c r="J13" s="2">
        <v>24</v>
      </c>
      <c r="K13" s="2">
        <v>6</v>
      </c>
      <c r="L13" s="2">
        <v>3</v>
      </c>
      <c r="M13" s="2">
        <v>14</v>
      </c>
      <c r="N13" s="2">
        <f t="shared" si="0"/>
        <v>67</v>
      </c>
      <c r="O13" s="2">
        <f t="shared" si="1"/>
        <v>11</v>
      </c>
    </row>
    <row r="14" spans="1:15">
      <c r="A14" s="2">
        <v>13</v>
      </c>
      <c r="B14" s="3">
        <v>31</v>
      </c>
      <c r="C14" s="2" t="str">
        <f>VLOOKUP(B14,'Zone Reg'!K:L,2,0)</f>
        <v>Kolkata</v>
      </c>
      <c r="D14" s="3">
        <v>313</v>
      </c>
      <c r="E14" s="2" t="str">
        <f>VLOOKUP(D14,'Zone Reg'!A:C,3,0)</f>
        <v>HOWRAH</v>
      </c>
      <c r="F14" s="2" t="s">
        <v>84</v>
      </c>
      <c r="G14" s="2">
        <v>3133000</v>
      </c>
      <c r="H14" s="2">
        <v>13</v>
      </c>
      <c r="I14" s="2">
        <v>17</v>
      </c>
      <c r="J14" s="2">
        <v>38</v>
      </c>
      <c r="K14" s="2">
        <v>50</v>
      </c>
      <c r="L14" s="2">
        <v>8</v>
      </c>
      <c r="M14" s="2">
        <v>17</v>
      </c>
      <c r="N14" s="2">
        <f t="shared" si="0"/>
        <v>143</v>
      </c>
      <c r="O14" s="2">
        <f t="shared" si="1"/>
        <v>24</v>
      </c>
    </row>
    <row r="15" spans="1:15">
      <c r="A15" s="2">
        <v>14</v>
      </c>
      <c r="B15" s="3">
        <v>31</v>
      </c>
      <c r="C15" s="2" t="str">
        <f>VLOOKUP(B15,'Zone Reg'!K:L,2,0)</f>
        <v>Kolkata</v>
      </c>
      <c r="D15" s="3">
        <v>313</v>
      </c>
      <c r="E15" s="2" t="str">
        <f>VLOOKUP(D15,'Zone Reg'!A:C,3,0)</f>
        <v>HOWRAH</v>
      </c>
      <c r="F15" s="2" t="s">
        <v>44</v>
      </c>
      <c r="G15" s="2">
        <v>3135000</v>
      </c>
      <c r="H15" s="2">
        <v>28</v>
      </c>
      <c r="I15" s="2">
        <v>11</v>
      </c>
      <c r="J15" s="2">
        <v>36</v>
      </c>
      <c r="K15" s="2">
        <v>2</v>
      </c>
      <c r="L15" s="2">
        <v>6</v>
      </c>
      <c r="M15" s="2">
        <v>57</v>
      </c>
      <c r="N15" s="2">
        <f t="shared" si="0"/>
        <v>140</v>
      </c>
      <c r="O15" s="2">
        <f t="shared" si="1"/>
        <v>23</v>
      </c>
    </row>
    <row r="16" spans="1:15">
      <c r="A16" s="2">
        <v>15</v>
      </c>
      <c r="B16" s="3">
        <v>31</v>
      </c>
      <c r="C16" s="2" t="str">
        <f>VLOOKUP(B16,'Zone Reg'!K:L,2,0)</f>
        <v>Kolkata</v>
      </c>
      <c r="D16" s="3">
        <v>315</v>
      </c>
      <c r="E16" s="2" t="str">
        <f>VLOOKUP(D16,'Zone Reg'!A:C,3,0)</f>
        <v>24-PARGANAS (NORTH)</v>
      </c>
      <c r="F16" s="2" t="s">
        <v>13</v>
      </c>
      <c r="G16" s="2">
        <v>3152000</v>
      </c>
      <c r="H16" s="2">
        <v>22</v>
      </c>
      <c r="I16" s="2">
        <v>13</v>
      </c>
      <c r="J16" s="2">
        <v>49</v>
      </c>
      <c r="K16" s="2">
        <v>8</v>
      </c>
      <c r="L16" s="2">
        <v>5</v>
      </c>
      <c r="M16" s="2">
        <v>13</v>
      </c>
      <c r="N16" s="2">
        <f t="shared" si="0"/>
        <v>110</v>
      </c>
      <c r="O16" s="2">
        <f t="shared" si="1"/>
        <v>18</v>
      </c>
    </row>
    <row r="17" spans="1:15">
      <c r="A17" s="2">
        <v>16</v>
      </c>
      <c r="B17" s="3">
        <v>31</v>
      </c>
      <c r="C17" s="2" t="str">
        <f>VLOOKUP(B17,'Zone Reg'!K:L,2,0)</f>
        <v>Kolkata</v>
      </c>
      <c r="D17" s="3">
        <v>315</v>
      </c>
      <c r="E17" s="2" t="str">
        <f>VLOOKUP(D17,'Zone Reg'!A:C,3,0)</f>
        <v>24-PARGANAS (NORTH)</v>
      </c>
      <c r="F17" s="2" t="s">
        <v>12</v>
      </c>
      <c r="G17" s="2">
        <v>3153000</v>
      </c>
      <c r="H17" s="2">
        <v>43</v>
      </c>
      <c r="I17" s="2">
        <v>71</v>
      </c>
      <c r="J17" s="2">
        <v>85</v>
      </c>
      <c r="K17" s="2">
        <v>38</v>
      </c>
      <c r="L17" s="2">
        <v>20</v>
      </c>
      <c r="M17" s="2">
        <v>40</v>
      </c>
      <c r="N17" s="2">
        <f t="shared" si="0"/>
        <v>297</v>
      </c>
      <c r="O17" s="2">
        <f t="shared" si="1"/>
        <v>50</v>
      </c>
    </row>
    <row r="18" spans="1:15">
      <c r="A18" s="2">
        <v>17</v>
      </c>
      <c r="B18" s="3">
        <v>31</v>
      </c>
      <c r="C18" s="2" t="str">
        <f>VLOOKUP(B18,'Zone Reg'!K:L,2,0)</f>
        <v>Kolkata</v>
      </c>
      <c r="D18" s="3">
        <v>315</v>
      </c>
      <c r="E18" s="2" t="str">
        <f>VLOOKUP(D18,'Zone Reg'!A:C,3,0)</f>
        <v>24-PARGANAS (NORTH)</v>
      </c>
      <c r="F18" s="2" t="s">
        <v>42</v>
      </c>
      <c r="G18" s="2">
        <v>3154000</v>
      </c>
      <c r="H18" s="2">
        <v>22</v>
      </c>
      <c r="I18" s="2">
        <v>70</v>
      </c>
      <c r="J18" s="2">
        <v>32</v>
      </c>
      <c r="K18" s="2">
        <v>44</v>
      </c>
      <c r="L18" s="2">
        <v>5</v>
      </c>
      <c r="M18" s="2">
        <v>30</v>
      </c>
      <c r="N18" s="2">
        <f t="shared" si="0"/>
        <v>203</v>
      </c>
      <c r="O18" s="2">
        <f t="shared" si="1"/>
        <v>34</v>
      </c>
    </row>
    <row r="19" spans="1:15">
      <c r="A19" s="2">
        <v>18</v>
      </c>
      <c r="B19" s="3">
        <v>31</v>
      </c>
      <c r="C19" s="2" t="str">
        <f>VLOOKUP(B19,'Zone Reg'!K:L,2,0)</f>
        <v>Kolkata</v>
      </c>
      <c r="D19" s="3">
        <v>315</v>
      </c>
      <c r="E19" s="2" t="str">
        <f>VLOOKUP(D19,'Zone Reg'!A:C,3,0)</f>
        <v>24-PARGANAS (NORTH)</v>
      </c>
      <c r="F19" s="2" t="s">
        <v>67</v>
      </c>
      <c r="G19" s="2">
        <v>3155000</v>
      </c>
      <c r="H19" s="2">
        <v>26</v>
      </c>
      <c r="I19" s="2">
        <v>14</v>
      </c>
      <c r="J19" s="2">
        <v>4</v>
      </c>
      <c r="K19" s="2">
        <v>25</v>
      </c>
      <c r="L19" s="2">
        <v>1</v>
      </c>
      <c r="M19" s="2">
        <v>38</v>
      </c>
      <c r="N19" s="2">
        <f t="shared" si="0"/>
        <v>108</v>
      </c>
      <c r="O19" s="2">
        <f t="shared" si="1"/>
        <v>18</v>
      </c>
    </row>
    <row r="20" spans="1:15">
      <c r="A20" s="2">
        <v>19</v>
      </c>
      <c r="B20" s="3">
        <v>31</v>
      </c>
      <c r="C20" s="2" t="str">
        <f>VLOOKUP(B20,'Zone Reg'!K:L,2,0)</f>
        <v>Kolkata</v>
      </c>
      <c r="D20" s="3">
        <v>315</v>
      </c>
      <c r="E20" s="2" t="str">
        <f>VLOOKUP(D20,'Zone Reg'!A:C,3,0)</f>
        <v>24-PARGANAS (NORTH)</v>
      </c>
      <c r="F20" s="2" t="s">
        <v>15</v>
      </c>
      <c r="G20" s="2">
        <v>3156000</v>
      </c>
      <c r="H20" s="2">
        <v>8</v>
      </c>
      <c r="I20" s="2">
        <v>2</v>
      </c>
      <c r="J20" s="2">
        <v>0</v>
      </c>
      <c r="K20" s="2">
        <v>8</v>
      </c>
      <c r="L20" s="2">
        <v>0</v>
      </c>
      <c r="M20" s="2">
        <v>0</v>
      </c>
      <c r="N20" s="2">
        <f t="shared" si="0"/>
        <v>18</v>
      </c>
      <c r="O20" s="2">
        <f t="shared" si="1"/>
        <v>3</v>
      </c>
    </row>
    <row r="21" spans="1:15">
      <c r="A21" s="2">
        <v>20</v>
      </c>
      <c r="B21" s="3">
        <v>31</v>
      </c>
      <c r="C21" s="2" t="str">
        <f>VLOOKUP(B21,'Zone Reg'!K:L,2,0)</f>
        <v>Kolkata</v>
      </c>
      <c r="D21" s="3">
        <v>315</v>
      </c>
      <c r="E21" s="2" t="str">
        <f>VLOOKUP(D21,'Zone Reg'!A:C,3,0)</f>
        <v>24-PARGANAS (NORTH)</v>
      </c>
      <c r="F21" s="2" t="s">
        <v>24</v>
      </c>
      <c r="G21" s="2">
        <v>3157000</v>
      </c>
      <c r="H21" s="2">
        <v>37</v>
      </c>
      <c r="I21" s="2">
        <v>0</v>
      </c>
      <c r="J21" s="2">
        <v>25</v>
      </c>
      <c r="K21" s="2">
        <v>23</v>
      </c>
      <c r="L21" s="2">
        <v>0</v>
      </c>
      <c r="M21" s="2">
        <v>0</v>
      </c>
      <c r="N21" s="2">
        <f t="shared" si="0"/>
        <v>85</v>
      </c>
      <c r="O21" s="2">
        <f t="shared" si="1"/>
        <v>14</v>
      </c>
    </row>
    <row r="22" spans="1:15">
      <c r="A22" s="2">
        <v>21</v>
      </c>
      <c r="B22" s="3">
        <v>31</v>
      </c>
      <c r="C22" s="2" t="str">
        <f>VLOOKUP(B22,'Zone Reg'!K:L,2,0)</f>
        <v>Kolkata</v>
      </c>
      <c r="D22" s="3">
        <v>315</v>
      </c>
      <c r="E22" s="2" t="str">
        <f>VLOOKUP(D22,'Zone Reg'!A:C,3,0)</f>
        <v>24-PARGANAS (NORTH)</v>
      </c>
      <c r="F22" s="2" t="s">
        <v>9</v>
      </c>
      <c r="G22" s="2">
        <v>3158000</v>
      </c>
      <c r="H22" s="2">
        <v>15</v>
      </c>
      <c r="I22" s="2">
        <v>9</v>
      </c>
      <c r="J22" s="2">
        <v>16</v>
      </c>
      <c r="K22" s="2">
        <v>29</v>
      </c>
      <c r="L22" s="2">
        <v>0</v>
      </c>
      <c r="M22" s="2">
        <v>24</v>
      </c>
      <c r="N22" s="2">
        <f t="shared" si="0"/>
        <v>93</v>
      </c>
      <c r="O22" s="2">
        <f t="shared" si="1"/>
        <v>16</v>
      </c>
    </row>
    <row r="23" spans="1:15">
      <c r="A23" s="2">
        <v>22</v>
      </c>
      <c r="B23" s="3">
        <v>32</v>
      </c>
      <c r="C23" s="2" t="str">
        <f>VLOOKUP(B23,'Zone Reg'!K:L,2,0)</f>
        <v>Midnapore</v>
      </c>
      <c r="D23" s="3">
        <v>321</v>
      </c>
      <c r="E23" s="2" t="str">
        <f>VLOOKUP(D23,'Zone Reg'!A:C,3,0)</f>
        <v>PASCHIM MEDINIPUR</v>
      </c>
      <c r="F23" s="2" t="s">
        <v>57</v>
      </c>
      <c r="G23" s="2">
        <v>3212000</v>
      </c>
      <c r="H23" s="2">
        <v>7</v>
      </c>
      <c r="I23" s="2">
        <v>5</v>
      </c>
      <c r="J23" s="2">
        <v>0</v>
      </c>
      <c r="K23" s="2">
        <v>0</v>
      </c>
      <c r="L23" s="2">
        <v>0</v>
      </c>
      <c r="M23" s="2">
        <v>0</v>
      </c>
      <c r="N23" s="2">
        <f t="shared" si="0"/>
        <v>12</v>
      </c>
      <c r="O23" s="2">
        <f t="shared" si="1"/>
        <v>2</v>
      </c>
    </row>
    <row r="24" spans="1:15">
      <c r="A24" s="2">
        <v>23</v>
      </c>
      <c r="B24" s="3">
        <v>32</v>
      </c>
      <c r="C24" s="2" t="str">
        <f>VLOOKUP(B24,'Zone Reg'!K:L,2,0)</f>
        <v>Midnapore</v>
      </c>
      <c r="D24" s="3">
        <v>321</v>
      </c>
      <c r="E24" s="2" t="str">
        <f>VLOOKUP(D24,'Zone Reg'!A:C,3,0)</f>
        <v>PASCHIM MEDINIPUR</v>
      </c>
      <c r="F24" s="2" t="s">
        <v>41</v>
      </c>
      <c r="G24" s="2">
        <v>3213000</v>
      </c>
      <c r="H24" s="2">
        <v>45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f t="shared" si="0"/>
        <v>45</v>
      </c>
      <c r="O24" s="2">
        <f t="shared" si="1"/>
        <v>8</v>
      </c>
    </row>
    <row r="25" spans="1:15">
      <c r="A25" s="2">
        <v>24</v>
      </c>
      <c r="B25" s="3">
        <v>32</v>
      </c>
      <c r="C25" s="2" t="str">
        <f>VLOOKUP(B25,'Zone Reg'!K:L,2,0)</f>
        <v>Midnapore</v>
      </c>
      <c r="D25" s="3">
        <v>321</v>
      </c>
      <c r="E25" s="2" t="str">
        <f>VLOOKUP(D25,'Zone Reg'!A:C,3,0)</f>
        <v>PASCHIM MEDINIPUR</v>
      </c>
      <c r="F25" s="2" t="s">
        <v>65</v>
      </c>
      <c r="G25" s="2">
        <v>3214000</v>
      </c>
      <c r="H25" s="2">
        <v>146</v>
      </c>
      <c r="I25" s="2">
        <v>68</v>
      </c>
      <c r="J25" s="2">
        <v>82</v>
      </c>
      <c r="K25" s="2">
        <v>57</v>
      </c>
      <c r="L25" s="2">
        <v>34</v>
      </c>
      <c r="M25" s="2">
        <v>256</v>
      </c>
      <c r="N25" s="2">
        <f t="shared" si="0"/>
        <v>643</v>
      </c>
      <c r="O25" s="2">
        <f t="shared" si="1"/>
        <v>107</v>
      </c>
    </row>
    <row r="26" spans="1:15">
      <c r="A26" s="2">
        <v>25</v>
      </c>
      <c r="B26" s="3">
        <v>32</v>
      </c>
      <c r="C26" s="2" t="str">
        <f>VLOOKUP(B26,'Zone Reg'!K:L,2,0)</f>
        <v>Midnapore</v>
      </c>
      <c r="D26" s="3">
        <v>321</v>
      </c>
      <c r="E26" s="2" t="str">
        <f>VLOOKUP(D26,'Zone Reg'!A:C,3,0)</f>
        <v>PASCHIM MEDINIPUR</v>
      </c>
      <c r="F26" s="2" t="s">
        <v>17</v>
      </c>
      <c r="G26" s="2">
        <v>3216000</v>
      </c>
      <c r="H26" s="2">
        <v>170</v>
      </c>
      <c r="I26" s="2">
        <v>63</v>
      </c>
      <c r="J26" s="2">
        <v>117</v>
      </c>
      <c r="K26" s="2">
        <v>6</v>
      </c>
      <c r="L26" s="2">
        <v>26</v>
      </c>
      <c r="M26" s="2">
        <v>402</v>
      </c>
      <c r="N26" s="2">
        <f t="shared" si="0"/>
        <v>784</v>
      </c>
      <c r="O26" s="2">
        <f t="shared" si="1"/>
        <v>131</v>
      </c>
    </row>
    <row r="27" spans="1:15">
      <c r="A27" s="2">
        <v>26</v>
      </c>
      <c r="B27" s="3">
        <v>32</v>
      </c>
      <c r="C27" s="2" t="str">
        <f>VLOOKUP(B27,'Zone Reg'!K:L,2,0)</f>
        <v>Midnapore</v>
      </c>
      <c r="D27" s="3">
        <v>322</v>
      </c>
      <c r="E27" s="2" t="str">
        <f>VLOOKUP(D27,'Zone Reg'!A:C,3,0)</f>
        <v>PURBA MEDINIPUR</v>
      </c>
      <c r="F27" s="2" t="s">
        <v>81</v>
      </c>
      <c r="G27" s="2">
        <v>3222000</v>
      </c>
      <c r="H27" s="2">
        <v>19</v>
      </c>
      <c r="I27" s="2">
        <v>12</v>
      </c>
      <c r="J27" s="2">
        <v>34</v>
      </c>
      <c r="K27" s="2">
        <v>14</v>
      </c>
      <c r="L27" s="2">
        <v>16</v>
      </c>
      <c r="M27" s="2">
        <v>24</v>
      </c>
      <c r="N27" s="2">
        <f t="shared" si="0"/>
        <v>119</v>
      </c>
      <c r="O27" s="2">
        <f t="shared" si="1"/>
        <v>20</v>
      </c>
    </row>
    <row r="28" spans="1:15">
      <c r="A28" s="2">
        <v>27</v>
      </c>
      <c r="B28" s="3">
        <v>32</v>
      </c>
      <c r="C28" s="2" t="str">
        <f>VLOOKUP(B28,'Zone Reg'!K:L,2,0)</f>
        <v>Midnapore</v>
      </c>
      <c r="D28" s="3">
        <v>322</v>
      </c>
      <c r="E28" s="2" t="str">
        <f>VLOOKUP(D28,'Zone Reg'!A:C,3,0)</f>
        <v>PURBA MEDINIPUR</v>
      </c>
      <c r="F28" s="2" t="s">
        <v>31</v>
      </c>
      <c r="G28" s="2">
        <v>3223000</v>
      </c>
      <c r="H28" s="2">
        <v>26</v>
      </c>
      <c r="I28" s="2">
        <v>36</v>
      </c>
      <c r="J28" s="2">
        <v>52</v>
      </c>
      <c r="K28" s="2">
        <v>24</v>
      </c>
      <c r="L28" s="2">
        <v>0</v>
      </c>
      <c r="M28" s="2">
        <v>2</v>
      </c>
      <c r="N28" s="2">
        <f t="shared" si="0"/>
        <v>140</v>
      </c>
      <c r="O28" s="2">
        <f t="shared" si="1"/>
        <v>23</v>
      </c>
    </row>
    <row r="29" spans="1:15">
      <c r="A29" s="2">
        <v>28</v>
      </c>
      <c r="B29" s="3">
        <v>32</v>
      </c>
      <c r="C29" s="2" t="str">
        <f>VLOOKUP(B29,'Zone Reg'!K:L,2,0)</f>
        <v>Midnapore</v>
      </c>
      <c r="D29" s="3">
        <v>322</v>
      </c>
      <c r="E29" s="2" t="str">
        <f>VLOOKUP(D29,'Zone Reg'!A:C,3,0)</f>
        <v>PURBA MEDINIPUR</v>
      </c>
      <c r="F29" s="2" t="s">
        <v>43</v>
      </c>
      <c r="G29" s="2">
        <v>3224000</v>
      </c>
      <c r="H29" s="2">
        <v>52</v>
      </c>
      <c r="I29" s="2">
        <v>2</v>
      </c>
      <c r="J29" s="2">
        <v>4</v>
      </c>
      <c r="K29" s="2">
        <v>26</v>
      </c>
      <c r="L29" s="2">
        <v>1</v>
      </c>
      <c r="M29" s="2">
        <v>41</v>
      </c>
      <c r="N29" s="2">
        <f t="shared" si="0"/>
        <v>126</v>
      </c>
      <c r="O29" s="2">
        <f t="shared" si="1"/>
        <v>21</v>
      </c>
    </row>
    <row r="30" spans="1:15">
      <c r="A30" s="2">
        <v>29</v>
      </c>
      <c r="B30" s="3">
        <v>32</v>
      </c>
      <c r="C30" s="2" t="str">
        <f>VLOOKUP(B30,'Zone Reg'!K:L,2,0)</f>
        <v>Midnapore</v>
      </c>
      <c r="D30" s="3">
        <v>322</v>
      </c>
      <c r="E30" s="2" t="str">
        <f>VLOOKUP(D30,'Zone Reg'!A:C,3,0)</f>
        <v>PURBA MEDINIPUR</v>
      </c>
      <c r="F30" s="2" t="s">
        <v>38</v>
      </c>
      <c r="G30" s="2">
        <v>3225000</v>
      </c>
      <c r="H30" s="2">
        <v>181</v>
      </c>
      <c r="I30" s="2">
        <v>115</v>
      </c>
      <c r="J30" s="2">
        <v>113</v>
      </c>
      <c r="K30" s="2">
        <v>161</v>
      </c>
      <c r="L30" s="2">
        <v>38</v>
      </c>
      <c r="M30" s="2">
        <v>210</v>
      </c>
      <c r="N30" s="2">
        <f t="shared" si="0"/>
        <v>818</v>
      </c>
      <c r="O30" s="2">
        <f t="shared" si="1"/>
        <v>136</v>
      </c>
    </row>
    <row r="31" spans="1:15">
      <c r="A31" s="2">
        <v>30</v>
      </c>
      <c r="B31" s="3">
        <v>32</v>
      </c>
      <c r="C31" s="2" t="str">
        <f>VLOOKUP(B31,'Zone Reg'!K:L,2,0)</f>
        <v>Midnapore</v>
      </c>
      <c r="D31" s="3">
        <v>323</v>
      </c>
      <c r="E31" s="2" t="str">
        <f>VLOOKUP(D31,'Zone Reg'!A:C,3,0)</f>
        <v>BANKURA</v>
      </c>
      <c r="F31" s="2" t="s">
        <v>11</v>
      </c>
      <c r="G31" s="2">
        <v>3232000</v>
      </c>
      <c r="H31" s="2">
        <v>86</v>
      </c>
      <c r="I31" s="2">
        <v>95</v>
      </c>
      <c r="J31" s="2">
        <v>152</v>
      </c>
      <c r="K31" s="2">
        <v>51</v>
      </c>
      <c r="L31" s="2">
        <v>1</v>
      </c>
      <c r="M31" s="2">
        <v>15</v>
      </c>
      <c r="N31" s="2">
        <f t="shared" si="0"/>
        <v>400</v>
      </c>
      <c r="O31" s="2">
        <f t="shared" si="1"/>
        <v>67</v>
      </c>
    </row>
    <row r="32" spans="1:15">
      <c r="A32" s="2">
        <v>31</v>
      </c>
      <c r="B32" s="3">
        <v>32</v>
      </c>
      <c r="C32" s="2" t="str">
        <f>VLOOKUP(B32,'Zone Reg'!K:L,2,0)</f>
        <v>Midnapore</v>
      </c>
      <c r="D32" s="3">
        <v>323</v>
      </c>
      <c r="E32" s="2" t="str">
        <f>VLOOKUP(D32,'Zone Reg'!A:C,3,0)</f>
        <v>BANKURA</v>
      </c>
      <c r="F32" s="2" t="s">
        <v>22</v>
      </c>
      <c r="G32" s="2">
        <v>3233000</v>
      </c>
      <c r="H32" s="2">
        <v>125</v>
      </c>
      <c r="I32" s="2">
        <v>26</v>
      </c>
      <c r="J32" s="2">
        <v>35</v>
      </c>
      <c r="K32" s="2">
        <v>39</v>
      </c>
      <c r="L32" s="2">
        <v>15</v>
      </c>
      <c r="M32" s="2">
        <v>42</v>
      </c>
      <c r="N32" s="2">
        <f t="shared" si="0"/>
        <v>282</v>
      </c>
      <c r="O32" s="2">
        <f t="shared" si="1"/>
        <v>47</v>
      </c>
    </row>
    <row r="33" spans="1:15">
      <c r="A33" s="2">
        <v>32</v>
      </c>
      <c r="B33" s="3">
        <v>32</v>
      </c>
      <c r="C33" s="2" t="str">
        <f>VLOOKUP(B33,'Zone Reg'!K:L,2,0)</f>
        <v>Midnapore</v>
      </c>
      <c r="D33" s="3">
        <v>323</v>
      </c>
      <c r="E33" s="2" t="str">
        <f>VLOOKUP(D33,'Zone Reg'!A:C,3,0)</f>
        <v>BANKURA</v>
      </c>
      <c r="F33" s="2" t="s">
        <v>58</v>
      </c>
      <c r="G33" s="2">
        <v>3234000</v>
      </c>
      <c r="H33" s="2">
        <v>12</v>
      </c>
      <c r="I33" s="2">
        <v>35</v>
      </c>
      <c r="J33" s="2">
        <v>11</v>
      </c>
      <c r="K33" s="2">
        <v>35</v>
      </c>
      <c r="L33" s="2">
        <v>4</v>
      </c>
      <c r="M33" s="2">
        <v>39</v>
      </c>
      <c r="N33" s="2">
        <f t="shared" si="0"/>
        <v>136</v>
      </c>
      <c r="O33" s="2">
        <f t="shared" si="1"/>
        <v>23</v>
      </c>
    </row>
    <row r="34" spans="1:15">
      <c r="A34" s="2">
        <v>33</v>
      </c>
      <c r="B34" s="3">
        <v>32</v>
      </c>
      <c r="C34" s="2" t="str">
        <f>VLOOKUP(B34,'Zone Reg'!K:L,2,0)</f>
        <v>Midnapore</v>
      </c>
      <c r="D34" s="3">
        <v>324</v>
      </c>
      <c r="E34" s="2" t="str">
        <f>VLOOKUP(D34,'Zone Reg'!A:C,3,0)</f>
        <v>PURULIA</v>
      </c>
      <c r="F34" s="2" t="s">
        <v>70</v>
      </c>
      <c r="G34" s="2">
        <v>3242000</v>
      </c>
      <c r="H34" s="2">
        <v>24</v>
      </c>
      <c r="I34" s="2">
        <v>16</v>
      </c>
      <c r="J34" s="2">
        <v>3</v>
      </c>
      <c r="K34" s="2">
        <v>14</v>
      </c>
      <c r="L34" s="2">
        <v>0</v>
      </c>
      <c r="M34" s="2">
        <v>27</v>
      </c>
      <c r="N34" s="2">
        <f t="shared" si="0"/>
        <v>84</v>
      </c>
      <c r="O34" s="2">
        <f t="shared" si="1"/>
        <v>14</v>
      </c>
    </row>
    <row r="35" spans="1:15">
      <c r="A35" s="2">
        <v>34</v>
      </c>
      <c r="B35" s="3">
        <v>32</v>
      </c>
      <c r="C35" s="2" t="str">
        <f>VLOOKUP(B35,'Zone Reg'!K:L,2,0)</f>
        <v>Midnapore</v>
      </c>
      <c r="D35" s="3">
        <v>324</v>
      </c>
      <c r="E35" s="2" t="str">
        <f>VLOOKUP(D35,'Zone Reg'!A:C,3,0)</f>
        <v>PURULIA</v>
      </c>
      <c r="F35" s="2" t="s">
        <v>72</v>
      </c>
      <c r="G35" s="2">
        <v>3243000</v>
      </c>
      <c r="H35" s="2">
        <v>16</v>
      </c>
      <c r="I35" s="2">
        <v>2</v>
      </c>
      <c r="J35" s="2">
        <v>13</v>
      </c>
      <c r="K35" s="2">
        <v>74</v>
      </c>
      <c r="L35" s="2">
        <v>21</v>
      </c>
      <c r="M35" s="2">
        <v>15</v>
      </c>
      <c r="N35" s="2">
        <f t="shared" si="0"/>
        <v>141</v>
      </c>
      <c r="O35" s="2">
        <f t="shared" si="1"/>
        <v>24</v>
      </c>
    </row>
    <row r="36" spans="1:15">
      <c r="A36" s="2">
        <v>35</v>
      </c>
      <c r="B36" s="3">
        <v>32</v>
      </c>
      <c r="C36" s="2" t="str">
        <f>VLOOKUP(B36,'Zone Reg'!K:L,2,0)</f>
        <v>Midnapore</v>
      </c>
      <c r="D36" s="3">
        <v>325</v>
      </c>
      <c r="E36" s="2" t="str">
        <f>VLOOKUP(D36,'Zone Reg'!A:C,3,0)</f>
        <v>JHARGRAM</v>
      </c>
      <c r="F36" s="2" t="s">
        <v>48</v>
      </c>
      <c r="G36" s="2">
        <v>3251000</v>
      </c>
      <c r="H36" s="2">
        <v>29</v>
      </c>
      <c r="I36" s="2">
        <v>37</v>
      </c>
      <c r="J36" s="2">
        <v>20</v>
      </c>
      <c r="K36" s="2">
        <v>122</v>
      </c>
      <c r="L36" s="2">
        <v>6</v>
      </c>
      <c r="M36" s="2">
        <v>52</v>
      </c>
      <c r="N36" s="2">
        <f t="shared" si="0"/>
        <v>266</v>
      </c>
      <c r="O36" s="2">
        <f t="shared" si="1"/>
        <v>44</v>
      </c>
    </row>
    <row r="37" spans="1:15">
      <c r="A37" s="2">
        <v>36</v>
      </c>
      <c r="B37" s="3">
        <v>33</v>
      </c>
      <c r="C37" s="2" t="str">
        <f>VLOOKUP(B37,'Zone Reg'!K:L,2,0)</f>
        <v>Berhampore</v>
      </c>
      <c r="D37" s="3">
        <v>331</v>
      </c>
      <c r="E37" s="2" t="str">
        <f>VLOOKUP(D37,'Zone Reg'!A:C,3,0)</f>
        <v>MURSHIDABAD</v>
      </c>
      <c r="F37" s="2" t="s">
        <v>18</v>
      </c>
      <c r="G37" s="2">
        <v>3314000</v>
      </c>
      <c r="H37" s="2">
        <v>68</v>
      </c>
      <c r="I37" s="2">
        <v>200</v>
      </c>
      <c r="J37" s="2">
        <v>88</v>
      </c>
      <c r="K37" s="2">
        <v>73</v>
      </c>
      <c r="L37" s="2">
        <v>22</v>
      </c>
      <c r="M37" s="2">
        <v>8</v>
      </c>
      <c r="N37" s="2">
        <f t="shared" si="0"/>
        <v>459</v>
      </c>
      <c r="O37" s="2">
        <f t="shared" si="1"/>
        <v>77</v>
      </c>
    </row>
    <row r="38" spans="1:15">
      <c r="A38" s="2">
        <v>37</v>
      </c>
      <c r="B38" s="3">
        <v>33</v>
      </c>
      <c r="C38" s="2" t="str">
        <f>VLOOKUP(B38,'Zone Reg'!K:L,2,0)</f>
        <v>Berhampore</v>
      </c>
      <c r="D38" s="3">
        <v>331</v>
      </c>
      <c r="E38" s="2" t="str">
        <f>VLOOKUP(D38,'Zone Reg'!A:C,3,0)</f>
        <v>MURSHIDABAD</v>
      </c>
      <c r="F38" s="2" t="s">
        <v>71</v>
      </c>
      <c r="G38" s="2">
        <v>3315000</v>
      </c>
      <c r="H38" s="2">
        <v>1</v>
      </c>
      <c r="I38" s="2">
        <v>0</v>
      </c>
      <c r="J38" s="2">
        <v>0</v>
      </c>
      <c r="K38" s="2">
        <v>10</v>
      </c>
      <c r="L38" s="2">
        <v>0</v>
      </c>
      <c r="M38" s="2">
        <v>0</v>
      </c>
      <c r="N38" s="2">
        <f t="shared" si="0"/>
        <v>11</v>
      </c>
      <c r="O38" s="2">
        <f t="shared" si="1"/>
        <v>2</v>
      </c>
    </row>
    <row r="39" spans="1:15">
      <c r="A39" s="2">
        <v>38</v>
      </c>
      <c r="B39" s="3">
        <v>33</v>
      </c>
      <c r="C39" s="2" t="str">
        <f>VLOOKUP(B39,'Zone Reg'!K:L,2,0)</f>
        <v>Berhampore</v>
      </c>
      <c r="D39" s="3">
        <v>331</v>
      </c>
      <c r="E39" s="2" t="str">
        <f>VLOOKUP(D39,'Zone Reg'!A:C,3,0)</f>
        <v>MURSHIDABAD</v>
      </c>
      <c r="F39" s="2" t="s">
        <v>55</v>
      </c>
      <c r="G39" s="2">
        <v>3316000</v>
      </c>
      <c r="H39" s="2">
        <v>15</v>
      </c>
      <c r="I39" s="2">
        <v>16</v>
      </c>
      <c r="J39" s="2">
        <v>92</v>
      </c>
      <c r="K39" s="2">
        <v>0</v>
      </c>
      <c r="L39" s="2">
        <v>0</v>
      </c>
      <c r="M39" s="2">
        <v>0</v>
      </c>
      <c r="N39" s="2">
        <f t="shared" si="0"/>
        <v>123</v>
      </c>
      <c r="O39" s="2">
        <f t="shared" si="1"/>
        <v>21</v>
      </c>
    </row>
    <row r="40" spans="1:15">
      <c r="A40" s="2">
        <v>39</v>
      </c>
      <c r="B40" s="3">
        <v>33</v>
      </c>
      <c r="C40" s="2" t="str">
        <f>VLOOKUP(B40,'Zone Reg'!K:L,2,0)</f>
        <v>Berhampore</v>
      </c>
      <c r="D40" s="3">
        <v>331</v>
      </c>
      <c r="E40" s="2" t="str">
        <f>VLOOKUP(D40,'Zone Reg'!A:C,3,0)</f>
        <v>MURSHIDABAD</v>
      </c>
      <c r="F40" s="2" t="s">
        <v>36</v>
      </c>
      <c r="G40" s="2">
        <v>3317000</v>
      </c>
      <c r="H40" s="2">
        <v>5</v>
      </c>
      <c r="I40" s="2">
        <v>16</v>
      </c>
      <c r="J40" s="2">
        <v>22</v>
      </c>
      <c r="K40" s="2">
        <v>44</v>
      </c>
      <c r="L40" s="2">
        <v>23</v>
      </c>
      <c r="M40" s="2">
        <v>86</v>
      </c>
      <c r="N40" s="2">
        <f t="shared" si="0"/>
        <v>196</v>
      </c>
      <c r="O40" s="2">
        <f t="shared" si="1"/>
        <v>33</v>
      </c>
    </row>
    <row r="41" spans="1:15">
      <c r="A41" s="2">
        <v>40</v>
      </c>
      <c r="B41" s="3">
        <v>33</v>
      </c>
      <c r="C41" s="2" t="str">
        <f>VLOOKUP(B41,'Zone Reg'!K:L,2,0)</f>
        <v>Berhampore</v>
      </c>
      <c r="D41" s="3">
        <v>331</v>
      </c>
      <c r="E41" s="2" t="str">
        <f>VLOOKUP(D41,'Zone Reg'!A:C,3,0)</f>
        <v>MURSHIDABAD</v>
      </c>
      <c r="F41" s="2" t="s">
        <v>49</v>
      </c>
      <c r="G41" s="2">
        <v>3318000</v>
      </c>
      <c r="H41" s="2">
        <v>50</v>
      </c>
      <c r="I41" s="2">
        <v>18</v>
      </c>
      <c r="J41" s="2">
        <v>33</v>
      </c>
      <c r="K41" s="2">
        <v>50</v>
      </c>
      <c r="L41" s="2">
        <v>2</v>
      </c>
      <c r="M41" s="2">
        <v>35</v>
      </c>
      <c r="N41" s="2">
        <f t="shared" si="0"/>
        <v>188</v>
      </c>
      <c r="O41" s="2">
        <f t="shared" si="1"/>
        <v>31</v>
      </c>
    </row>
    <row r="42" spans="1:15">
      <c r="A42" s="2">
        <v>41</v>
      </c>
      <c r="B42" s="3">
        <v>33</v>
      </c>
      <c r="C42" s="2" t="str">
        <f>VLOOKUP(B42,'Zone Reg'!K:L,2,0)</f>
        <v>Berhampore</v>
      </c>
      <c r="D42" s="3">
        <v>333</v>
      </c>
      <c r="E42" s="2" t="str">
        <f>VLOOKUP(D42,'Zone Reg'!A:C,3,0)</f>
        <v>NADIA</v>
      </c>
      <c r="F42" s="2" t="s">
        <v>54</v>
      </c>
      <c r="G42" s="2">
        <v>3332000</v>
      </c>
      <c r="H42" s="2">
        <v>18</v>
      </c>
      <c r="I42" s="2">
        <v>13</v>
      </c>
      <c r="J42" s="2">
        <v>43</v>
      </c>
      <c r="K42" s="2">
        <v>56</v>
      </c>
      <c r="L42" s="2">
        <v>17</v>
      </c>
      <c r="M42" s="2">
        <v>28</v>
      </c>
      <c r="N42" s="2">
        <f t="shared" si="0"/>
        <v>175</v>
      </c>
      <c r="O42" s="2">
        <f t="shared" si="1"/>
        <v>29</v>
      </c>
    </row>
    <row r="43" spans="1:15">
      <c r="A43" s="2">
        <v>42</v>
      </c>
      <c r="B43" s="3">
        <v>33</v>
      </c>
      <c r="C43" s="2" t="str">
        <f>VLOOKUP(B43,'Zone Reg'!K:L,2,0)</f>
        <v>Berhampore</v>
      </c>
      <c r="D43" s="3">
        <v>333</v>
      </c>
      <c r="E43" s="2" t="str">
        <f>VLOOKUP(D43,'Zone Reg'!A:C,3,0)</f>
        <v>NADIA</v>
      </c>
      <c r="F43" s="2" t="s">
        <v>59</v>
      </c>
      <c r="G43" s="2">
        <v>3333000</v>
      </c>
      <c r="H43" s="2">
        <v>20</v>
      </c>
      <c r="I43" s="2">
        <v>35</v>
      </c>
      <c r="J43" s="2">
        <v>12</v>
      </c>
      <c r="K43" s="2">
        <v>16</v>
      </c>
      <c r="L43" s="2">
        <v>0</v>
      </c>
      <c r="M43" s="2">
        <v>48</v>
      </c>
      <c r="N43" s="2">
        <f t="shared" si="0"/>
        <v>131</v>
      </c>
      <c r="O43" s="2">
        <f t="shared" si="1"/>
        <v>22</v>
      </c>
    </row>
    <row r="44" spans="1:15">
      <c r="A44" s="2">
        <v>43</v>
      </c>
      <c r="B44" s="3">
        <v>33</v>
      </c>
      <c r="C44" s="2" t="str">
        <f>VLOOKUP(B44,'Zone Reg'!K:L,2,0)</f>
        <v>Berhampore</v>
      </c>
      <c r="D44" s="3">
        <v>333</v>
      </c>
      <c r="E44" s="2" t="str">
        <f>VLOOKUP(D44,'Zone Reg'!A:C,3,0)</f>
        <v>NADIA</v>
      </c>
      <c r="F44" s="2" t="s">
        <v>83</v>
      </c>
      <c r="G44" s="2">
        <v>3334000</v>
      </c>
      <c r="H44" s="2">
        <v>9</v>
      </c>
      <c r="I44" s="2">
        <v>7</v>
      </c>
      <c r="J44" s="2">
        <v>11</v>
      </c>
      <c r="K44" s="2">
        <v>17</v>
      </c>
      <c r="L44" s="2">
        <v>0</v>
      </c>
      <c r="M44" s="2">
        <v>1</v>
      </c>
      <c r="N44" s="2">
        <f t="shared" si="0"/>
        <v>45</v>
      </c>
      <c r="O44" s="2">
        <f t="shared" si="1"/>
        <v>8</v>
      </c>
    </row>
    <row r="45" spans="1:15">
      <c r="A45" s="2">
        <v>44</v>
      </c>
      <c r="B45" s="3">
        <v>33</v>
      </c>
      <c r="C45" s="2" t="str">
        <f>VLOOKUP(B45,'Zone Reg'!K:L,2,0)</f>
        <v>Berhampore</v>
      </c>
      <c r="D45" s="3">
        <v>333</v>
      </c>
      <c r="E45" s="2" t="str">
        <f>VLOOKUP(D45,'Zone Reg'!A:C,3,0)</f>
        <v>NADIA</v>
      </c>
      <c r="F45" s="2" t="s">
        <v>75</v>
      </c>
      <c r="G45" s="2">
        <v>3335000</v>
      </c>
      <c r="H45" s="2">
        <v>94</v>
      </c>
      <c r="I45" s="2">
        <v>25</v>
      </c>
      <c r="J45" s="2">
        <v>69</v>
      </c>
      <c r="K45" s="2">
        <v>149</v>
      </c>
      <c r="L45" s="2">
        <v>46</v>
      </c>
      <c r="M45" s="2">
        <v>116</v>
      </c>
      <c r="N45" s="2">
        <f t="shared" si="0"/>
        <v>499</v>
      </c>
      <c r="O45" s="2">
        <f t="shared" si="1"/>
        <v>83</v>
      </c>
    </row>
    <row r="46" spans="1:15">
      <c r="A46" s="2">
        <v>45</v>
      </c>
      <c r="B46" s="3">
        <v>33</v>
      </c>
      <c r="C46" s="2" t="str">
        <f>VLOOKUP(B46,'Zone Reg'!K:L,2,0)</f>
        <v>Berhampore</v>
      </c>
      <c r="D46" s="3">
        <v>333</v>
      </c>
      <c r="E46" s="2" t="str">
        <f>VLOOKUP(D46,'Zone Reg'!A:C,3,0)</f>
        <v>NADIA</v>
      </c>
      <c r="F46" s="2" t="s">
        <v>68</v>
      </c>
      <c r="G46" s="2">
        <v>3336000</v>
      </c>
      <c r="H46" s="2">
        <v>32</v>
      </c>
      <c r="I46" s="2">
        <v>60</v>
      </c>
      <c r="J46" s="2">
        <v>43</v>
      </c>
      <c r="K46" s="2">
        <v>14</v>
      </c>
      <c r="L46" s="2">
        <v>22</v>
      </c>
      <c r="M46" s="2">
        <v>0</v>
      </c>
      <c r="N46" s="2">
        <f t="shared" si="0"/>
        <v>171</v>
      </c>
      <c r="O46" s="2">
        <f t="shared" si="1"/>
        <v>29</v>
      </c>
    </row>
    <row r="47" spans="1:15">
      <c r="A47" s="2">
        <v>46</v>
      </c>
      <c r="B47" s="3">
        <v>34</v>
      </c>
      <c r="C47" s="2" t="str">
        <f>VLOOKUP(B47,'Zone Reg'!K:L,2,0)</f>
        <v>Siliguri</v>
      </c>
      <c r="D47" s="3">
        <v>341</v>
      </c>
      <c r="E47" s="2" t="str">
        <f>VLOOKUP(D47,'Zone Reg'!A:C,3,0)</f>
        <v>DARJEELING</v>
      </c>
      <c r="F47" s="2" t="s">
        <v>77</v>
      </c>
      <c r="G47" s="2">
        <v>3412000</v>
      </c>
      <c r="H47" s="2">
        <v>60</v>
      </c>
      <c r="I47" s="2">
        <v>41</v>
      </c>
      <c r="J47" s="2">
        <v>36</v>
      </c>
      <c r="K47" s="2">
        <v>37</v>
      </c>
      <c r="L47" s="2">
        <v>24</v>
      </c>
      <c r="M47" s="2">
        <v>61</v>
      </c>
      <c r="N47" s="2">
        <f t="shared" si="0"/>
        <v>259</v>
      </c>
      <c r="O47" s="2">
        <f t="shared" si="1"/>
        <v>43</v>
      </c>
    </row>
    <row r="48" spans="1:15">
      <c r="A48" s="2">
        <v>47</v>
      </c>
      <c r="B48" s="3">
        <v>34</v>
      </c>
      <c r="C48" s="2" t="str">
        <f>VLOOKUP(B48,'Zone Reg'!K:L,2,0)</f>
        <v>Siliguri</v>
      </c>
      <c r="D48" s="3">
        <v>341</v>
      </c>
      <c r="E48" s="2" t="str">
        <f>VLOOKUP(D48,'Zone Reg'!A:C,3,0)</f>
        <v>DARJEELING</v>
      </c>
      <c r="F48" s="2" t="s">
        <v>60</v>
      </c>
      <c r="G48" s="2">
        <v>3413000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f t="shared" si="0"/>
        <v>0</v>
      </c>
      <c r="O48" s="2">
        <f t="shared" si="1"/>
        <v>0</v>
      </c>
    </row>
    <row r="49" spans="1:15">
      <c r="A49" s="2">
        <v>48</v>
      </c>
      <c r="B49" s="3">
        <v>34</v>
      </c>
      <c r="C49" s="2" t="str">
        <f>VLOOKUP(B49,'Zone Reg'!K:L,2,0)</f>
        <v>Siliguri</v>
      </c>
      <c r="D49" s="3">
        <v>341</v>
      </c>
      <c r="E49" s="2" t="str">
        <f>VLOOKUP(D49,'Zone Reg'!A:C,3,0)</f>
        <v>DARJEELING</v>
      </c>
      <c r="F49" s="2" t="s">
        <v>33</v>
      </c>
      <c r="G49" s="2">
        <v>3414000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f t="shared" si="0"/>
        <v>0</v>
      </c>
      <c r="O49" s="2">
        <f t="shared" si="1"/>
        <v>0</v>
      </c>
    </row>
    <row r="50" spans="1:15">
      <c r="A50" s="2">
        <v>49</v>
      </c>
      <c r="B50" s="3">
        <v>34</v>
      </c>
      <c r="C50" s="2" t="str">
        <f>VLOOKUP(B50,'Zone Reg'!K:L,2,0)</f>
        <v>Siliguri</v>
      </c>
      <c r="D50" s="3">
        <v>341</v>
      </c>
      <c r="E50" s="2" t="str">
        <f>VLOOKUP(D50,'Zone Reg'!A:C,3,0)</f>
        <v>DARJEELING</v>
      </c>
      <c r="F50" s="2" t="s">
        <v>78</v>
      </c>
      <c r="G50" s="2">
        <v>3415000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f t="shared" si="0"/>
        <v>0</v>
      </c>
      <c r="O50" s="2">
        <f t="shared" si="1"/>
        <v>0</v>
      </c>
    </row>
    <row r="51" spans="1:15">
      <c r="A51" s="2">
        <v>50</v>
      </c>
      <c r="B51" s="3">
        <v>34</v>
      </c>
      <c r="C51" s="2" t="str">
        <f>VLOOKUP(B51,'Zone Reg'!K:L,2,0)</f>
        <v>Siliguri</v>
      </c>
      <c r="D51" s="3">
        <v>342</v>
      </c>
      <c r="E51" s="2" t="str">
        <f>VLOOKUP(D51,'Zone Reg'!A:C,3,0)</f>
        <v>JALPAIGURI</v>
      </c>
      <c r="F51" s="2" t="s">
        <v>47</v>
      </c>
      <c r="G51" s="2">
        <v>3422000</v>
      </c>
      <c r="H51" s="2">
        <v>32</v>
      </c>
      <c r="I51" s="2">
        <v>64</v>
      </c>
      <c r="J51" s="2">
        <v>55</v>
      </c>
      <c r="K51" s="2">
        <v>37</v>
      </c>
      <c r="L51" s="2">
        <v>9</v>
      </c>
      <c r="M51" s="2">
        <v>45</v>
      </c>
      <c r="N51" s="2">
        <f t="shared" si="0"/>
        <v>242</v>
      </c>
      <c r="O51" s="2">
        <f t="shared" si="1"/>
        <v>40</v>
      </c>
    </row>
    <row r="52" spans="1:15">
      <c r="A52" s="2">
        <v>51</v>
      </c>
      <c r="B52" s="3">
        <v>34</v>
      </c>
      <c r="C52" s="2" t="str">
        <f>VLOOKUP(B52,'Zone Reg'!K:L,2,0)</f>
        <v>Siliguri</v>
      </c>
      <c r="D52" s="3">
        <v>342</v>
      </c>
      <c r="E52" s="2" t="str">
        <f>VLOOKUP(D52,'Zone Reg'!A:C,3,0)</f>
        <v>JALPAIGURI</v>
      </c>
      <c r="F52" s="2" t="s">
        <v>62</v>
      </c>
      <c r="G52" s="2">
        <v>3427000</v>
      </c>
      <c r="H52" s="2">
        <v>39</v>
      </c>
      <c r="I52" s="2">
        <v>37</v>
      </c>
      <c r="J52" s="2">
        <v>50</v>
      </c>
      <c r="K52" s="2">
        <v>9</v>
      </c>
      <c r="L52" s="2">
        <v>1</v>
      </c>
      <c r="M52" s="2">
        <v>28</v>
      </c>
      <c r="N52" s="2">
        <f t="shared" si="0"/>
        <v>164</v>
      </c>
      <c r="O52" s="2">
        <f t="shared" si="1"/>
        <v>27</v>
      </c>
    </row>
    <row r="53" spans="1:15">
      <c r="A53" s="2">
        <v>52</v>
      </c>
      <c r="B53" s="3">
        <v>34</v>
      </c>
      <c r="C53" s="2" t="str">
        <f>VLOOKUP(B53,'Zone Reg'!K:L,2,0)</f>
        <v>Siliguri</v>
      </c>
      <c r="D53" s="3">
        <v>344</v>
      </c>
      <c r="E53" s="2" t="str">
        <f>VLOOKUP(D53,'Zone Reg'!A:C,3,0)</f>
        <v>COOCHBEHAR</v>
      </c>
      <c r="F53" s="2" t="s">
        <v>32</v>
      </c>
      <c r="G53" s="2">
        <v>3444000</v>
      </c>
      <c r="H53" s="2">
        <v>113</v>
      </c>
      <c r="I53" s="2">
        <v>46</v>
      </c>
      <c r="J53" s="2">
        <v>20</v>
      </c>
      <c r="K53" s="2">
        <v>57</v>
      </c>
      <c r="L53" s="2">
        <v>14</v>
      </c>
      <c r="M53" s="2">
        <v>9</v>
      </c>
      <c r="N53" s="2">
        <f t="shared" si="0"/>
        <v>259</v>
      </c>
      <c r="O53" s="2">
        <f t="shared" si="1"/>
        <v>43</v>
      </c>
    </row>
    <row r="54" spans="1:15">
      <c r="A54" s="2">
        <v>53</v>
      </c>
      <c r="B54" s="3">
        <v>34</v>
      </c>
      <c r="C54" s="2" t="str">
        <f>VLOOKUP(B54,'Zone Reg'!K:L,2,0)</f>
        <v>Siliguri</v>
      </c>
      <c r="D54" s="3">
        <v>344</v>
      </c>
      <c r="E54" s="2" t="str">
        <f>VLOOKUP(D54,'Zone Reg'!A:C,3,0)</f>
        <v>COOCHBEHAR</v>
      </c>
      <c r="F54" s="2" t="s">
        <v>63</v>
      </c>
      <c r="G54" s="2">
        <v>3445000</v>
      </c>
      <c r="H54" s="2">
        <v>12</v>
      </c>
      <c r="I54" s="2">
        <v>10</v>
      </c>
      <c r="J54" s="2">
        <v>21</v>
      </c>
      <c r="K54" s="2">
        <v>3</v>
      </c>
      <c r="L54" s="2">
        <v>13</v>
      </c>
      <c r="M54" s="2">
        <v>4</v>
      </c>
      <c r="N54" s="2">
        <f t="shared" si="0"/>
        <v>63</v>
      </c>
      <c r="O54" s="2">
        <f t="shared" si="1"/>
        <v>11</v>
      </c>
    </row>
    <row r="55" spans="1:15">
      <c r="A55" s="2">
        <v>54</v>
      </c>
      <c r="B55" s="3">
        <v>34</v>
      </c>
      <c r="C55" s="2" t="str">
        <f>VLOOKUP(B55,'Zone Reg'!K:L,2,0)</f>
        <v>Siliguri</v>
      </c>
      <c r="D55" s="3">
        <v>344</v>
      </c>
      <c r="E55" s="2" t="str">
        <f>VLOOKUP(D55,'Zone Reg'!A:C,3,0)</f>
        <v>COOCHBEHAR</v>
      </c>
      <c r="F55" s="2" t="s">
        <v>35</v>
      </c>
      <c r="G55" s="2">
        <v>3446000</v>
      </c>
      <c r="H55" s="2">
        <v>84</v>
      </c>
      <c r="I55" s="2">
        <v>77</v>
      </c>
      <c r="J55" s="2">
        <v>87</v>
      </c>
      <c r="K55" s="2">
        <v>35</v>
      </c>
      <c r="L55" s="2">
        <v>42</v>
      </c>
      <c r="M55" s="2">
        <v>214</v>
      </c>
      <c r="N55" s="2">
        <f t="shared" si="0"/>
        <v>539</v>
      </c>
      <c r="O55" s="2">
        <f t="shared" si="1"/>
        <v>90</v>
      </c>
    </row>
    <row r="56" spans="1:15">
      <c r="A56" s="2">
        <v>55</v>
      </c>
      <c r="B56" s="3">
        <v>34</v>
      </c>
      <c r="C56" s="2" t="str">
        <f>VLOOKUP(B56,'Zone Reg'!K:L,2,0)</f>
        <v>Siliguri</v>
      </c>
      <c r="D56" s="3">
        <v>345</v>
      </c>
      <c r="E56" s="2" t="str">
        <f>VLOOKUP(D56,'Zone Reg'!A:C,3,0)</f>
        <v>ALIPURDUAR</v>
      </c>
      <c r="F56" s="2" t="s">
        <v>6</v>
      </c>
      <c r="G56" s="2">
        <v>3453000</v>
      </c>
      <c r="H56" s="2">
        <v>1</v>
      </c>
      <c r="I56" s="2">
        <v>0</v>
      </c>
      <c r="J56" s="2">
        <v>90</v>
      </c>
      <c r="K56" s="2">
        <v>21</v>
      </c>
      <c r="L56" s="2">
        <v>0</v>
      </c>
      <c r="M56" s="2">
        <v>71</v>
      </c>
      <c r="N56" s="2">
        <f t="shared" si="0"/>
        <v>183</v>
      </c>
      <c r="O56" s="2">
        <f t="shared" si="1"/>
        <v>31</v>
      </c>
    </row>
    <row r="57" spans="1:15">
      <c r="A57" s="2">
        <v>56</v>
      </c>
      <c r="B57" s="3">
        <v>34</v>
      </c>
      <c r="C57" s="2" t="str">
        <f>VLOOKUP(B57,'Zone Reg'!K:L,2,0)</f>
        <v>Siliguri</v>
      </c>
      <c r="D57" s="3">
        <v>347</v>
      </c>
      <c r="E57" s="2" t="str">
        <f>VLOOKUP(D57,'Zone Reg'!A:C,3,0)</f>
        <v>KALIMPONG</v>
      </c>
      <c r="F57" s="2" t="s">
        <v>52</v>
      </c>
      <c r="G57" s="2">
        <v>3471000</v>
      </c>
      <c r="H57" s="2">
        <v>0</v>
      </c>
      <c r="I57" s="2">
        <v>0</v>
      </c>
      <c r="J57" s="2">
        <v>0</v>
      </c>
      <c r="K57" s="2">
        <v>0</v>
      </c>
      <c r="L57" s="2">
        <v>9</v>
      </c>
      <c r="M57" s="2">
        <v>0</v>
      </c>
      <c r="N57" s="2">
        <f t="shared" si="0"/>
        <v>9</v>
      </c>
      <c r="O57" s="2">
        <f t="shared" si="1"/>
        <v>2</v>
      </c>
    </row>
    <row r="58" spans="1:15">
      <c r="A58" s="2">
        <v>57</v>
      </c>
      <c r="B58" s="3">
        <v>35</v>
      </c>
      <c r="C58" s="2" t="str">
        <f>VLOOKUP(B58,'Zone Reg'!K:L,2,0)</f>
        <v>Bardhaman</v>
      </c>
      <c r="D58" s="3">
        <v>351</v>
      </c>
      <c r="E58" s="2" t="str">
        <f>VLOOKUP(D58,'Zone Reg'!A:C,3,0)</f>
        <v>PURBA BURDWAN</v>
      </c>
      <c r="F58" s="2" t="s">
        <v>26</v>
      </c>
      <c r="G58" s="2">
        <v>3512000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f t="shared" si="0"/>
        <v>0</v>
      </c>
      <c r="O58" s="2">
        <f t="shared" si="1"/>
        <v>0</v>
      </c>
    </row>
    <row r="59" spans="1:15">
      <c r="A59" s="2">
        <v>58</v>
      </c>
      <c r="B59" s="3">
        <v>35</v>
      </c>
      <c r="C59" s="2" t="str">
        <f>VLOOKUP(B59,'Zone Reg'!K:L,2,0)</f>
        <v>Bardhaman</v>
      </c>
      <c r="D59" s="3">
        <v>351</v>
      </c>
      <c r="E59" s="2" t="str">
        <f>VLOOKUP(D59,'Zone Reg'!A:C,3,0)</f>
        <v>PURBA BURDWAN</v>
      </c>
      <c r="F59" s="2" t="s">
        <v>56</v>
      </c>
      <c r="G59" s="2">
        <v>3515000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f t="shared" si="0"/>
        <v>0</v>
      </c>
      <c r="O59" s="2">
        <f t="shared" si="1"/>
        <v>0</v>
      </c>
    </row>
    <row r="60" spans="1:15">
      <c r="A60" s="2">
        <v>59</v>
      </c>
      <c r="B60" s="3">
        <v>35</v>
      </c>
      <c r="C60" s="2" t="str">
        <f>VLOOKUP(B60,'Zone Reg'!K:L,2,0)</f>
        <v>Bardhaman</v>
      </c>
      <c r="D60" s="3">
        <v>351</v>
      </c>
      <c r="E60" s="2" t="str">
        <f>VLOOKUP(D60,'Zone Reg'!A:C,3,0)</f>
        <v>PURBA BURDWAN</v>
      </c>
      <c r="F60" s="2" t="s">
        <v>53</v>
      </c>
      <c r="G60" s="2">
        <v>3516000</v>
      </c>
      <c r="H60" s="2">
        <v>314</v>
      </c>
      <c r="I60" s="2">
        <v>205</v>
      </c>
      <c r="J60" s="2">
        <v>286</v>
      </c>
      <c r="K60" s="2">
        <v>219</v>
      </c>
      <c r="L60" s="2">
        <v>73</v>
      </c>
      <c r="M60" s="2">
        <v>299</v>
      </c>
      <c r="N60" s="2">
        <f t="shared" si="0"/>
        <v>1396</v>
      </c>
      <c r="O60" s="2">
        <f t="shared" si="1"/>
        <v>233</v>
      </c>
    </row>
    <row r="61" spans="1:15">
      <c r="A61" s="2">
        <v>60</v>
      </c>
      <c r="B61" s="3">
        <v>35</v>
      </c>
      <c r="C61" s="2" t="str">
        <f>VLOOKUP(B61,'Zone Reg'!K:L,2,0)</f>
        <v>Bardhaman</v>
      </c>
      <c r="D61" s="3">
        <v>351</v>
      </c>
      <c r="E61" s="2" t="str">
        <f>VLOOKUP(D61,'Zone Reg'!A:C,3,0)</f>
        <v>PURBA BURDWAN</v>
      </c>
      <c r="F61" s="2" t="s">
        <v>64</v>
      </c>
      <c r="G61" s="2">
        <v>3517000</v>
      </c>
      <c r="H61" s="2">
        <v>0</v>
      </c>
      <c r="I61" s="2">
        <v>0</v>
      </c>
      <c r="J61" s="2">
        <v>9</v>
      </c>
      <c r="K61" s="2">
        <v>35</v>
      </c>
      <c r="L61" s="2">
        <v>19</v>
      </c>
      <c r="M61" s="2">
        <v>34</v>
      </c>
      <c r="N61" s="2">
        <f t="shared" si="0"/>
        <v>97</v>
      </c>
      <c r="O61" s="2">
        <f t="shared" si="1"/>
        <v>16</v>
      </c>
    </row>
    <row r="62" spans="1:15">
      <c r="A62" s="2">
        <v>61</v>
      </c>
      <c r="B62" s="3">
        <v>35</v>
      </c>
      <c r="C62" s="2" t="str">
        <f>VLOOKUP(B62,'Zone Reg'!K:L,2,0)</f>
        <v>Bardhaman</v>
      </c>
      <c r="D62" s="3">
        <v>351</v>
      </c>
      <c r="E62" s="2" t="str">
        <f>VLOOKUP(D62,'Zone Reg'!A:C,3,0)</f>
        <v>PURBA BURDWAN</v>
      </c>
      <c r="F62" s="2" t="s">
        <v>27</v>
      </c>
      <c r="G62" s="2">
        <v>3518000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5</v>
      </c>
      <c r="N62" s="2">
        <f t="shared" si="0"/>
        <v>5</v>
      </c>
      <c r="O62" s="2">
        <f t="shared" si="1"/>
        <v>1</v>
      </c>
    </row>
    <row r="63" spans="1:15">
      <c r="A63" s="2">
        <v>62</v>
      </c>
      <c r="B63" s="3">
        <v>35</v>
      </c>
      <c r="C63" s="2" t="str">
        <f>VLOOKUP(B63,'Zone Reg'!K:L,2,0)</f>
        <v>Bardhaman</v>
      </c>
      <c r="D63" s="3">
        <v>352</v>
      </c>
      <c r="E63" s="2" t="str">
        <f>VLOOKUP(D63,'Zone Reg'!A:C,3,0)</f>
        <v>BIRBHUM</v>
      </c>
      <c r="F63" s="2" t="s">
        <v>80</v>
      </c>
      <c r="G63" s="2">
        <v>3521000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f t="shared" si="0"/>
        <v>0</v>
      </c>
      <c r="O63" s="2">
        <f t="shared" si="1"/>
        <v>0</v>
      </c>
    </row>
    <row r="64" spans="1:15">
      <c r="A64" s="2">
        <v>63</v>
      </c>
      <c r="B64" s="3">
        <v>35</v>
      </c>
      <c r="C64" s="2" t="str">
        <f>VLOOKUP(B64,'Zone Reg'!K:L,2,0)</f>
        <v>Bardhaman</v>
      </c>
      <c r="D64" s="3">
        <v>352</v>
      </c>
      <c r="E64" s="2" t="str">
        <f>VLOOKUP(D64,'Zone Reg'!A:C,3,0)</f>
        <v>BIRBHUM</v>
      </c>
      <c r="F64" s="2" t="s">
        <v>74</v>
      </c>
      <c r="G64" s="2">
        <v>3522000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14</v>
      </c>
      <c r="N64" s="2">
        <f t="shared" si="0"/>
        <v>14</v>
      </c>
      <c r="O64" s="2">
        <f t="shared" si="1"/>
        <v>2</v>
      </c>
    </row>
    <row r="65" spans="1:15">
      <c r="A65" s="2">
        <v>64</v>
      </c>
      <c r="B65" s="3">
        <v>35</v>
      </c>
      <c r="C65" s="2" t="str">
        <f>VLOOKUP(B65,'Zone Reg'!K:L,2,0)</f>
        <v>Bardhaman</v>
      </c>
      <c r="D65" s="3">
        <v>352</v>
      </c>
      <c r="E65" s="2" t="str">
        <f>VLOOKUP(D65,'Zone Reg'!A:C,3,0)</f>
        <v>BIRBHUM</v>
      </c>
      <c r="F65" s="2" t="s">
        <v>23</v>
      </c>
      <c r="G65" s="2">
        <v>3523000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f t="shared" si="0"/>
        <v>0</v>
      </c>
      <c r="O65" s="2">
        <f t="shared" si="1"/>
        <v>0</v>
      </c>
    </row>
    <row r="66" spans="1:15">
      <c r="A66" s="2">
        <v>65</v>
      </c>
      <c r="B66" s="3">
        <v>35</v>
      </c>
      <c r="C66" s="2" t="str">
        <f>VLOOKUP(B66,'Zone Reg'!K:L,2,0)</f>
        <v>Bardhaman</v>
      </c>
      <c r="D66" s="3">
        <v>353</v>
      </c>
      <c r="E66" s="2" t="str">
        <f>VLOOKUP(D66,'Zone Reg'!A:C,3,0)</f>
        <v>HOOGHLY</v>
      </c>
      <c r="F66" s="2" t="s">
        <v>76</v>
      </c>
      <c r="G66" s="2">
        <v>3531000</v>
      </c>
      <c r="H66" s="2">
        <v>23</v>
      </c>
      <c r="I66" s="2">
        <v>0</v>
      </c>
      <c r="J66" s="2">
        <v>53</v>
      </c>
      <c r="K66" s="2">
        <v>6</v>
      </c>
      <c r="L66" s="2">
        <v>10</v>
      </c>
      <c r="M66" s="2">
        <v>30</v>
      </c>
      <c r="N66" s="2">
        <f t="shared" si="0"/>
        <v>122</v>
      </c>
      <c r="O66" s="2">
        <f t="shared" si="1"/>
        <v>20</v>
      </c>
    </row>
    <row r="67" spans="1:15">
      <c r="A67" s="2">
        <v>66</v>
      </c>
      <c r="B67" s="3">
        <v>35</v>
      </c>
      <c r="C67" s="2" t="str">
        <f>VLOOKUP(B67,'Zone Reg'!K:L,2,0)</f>
        <v>Bardhaman</v>
      </c>
      <c r="D67" s="3">
        <v>353</v>
      </c>
      <c r="E67" s="2" t="str">
        <f>VLOOKUP(D67,'Zone Reg'!A:C,3,0)</f>
        <v>HOOGHLY</v>
      </c>
      <c r="F67" s="2" t="s">
        <v>30</v>
      </c>
      <c r="G67" s="2">
        <v>3532000</v>
      </c>
      <c r="H67" s="2">
        <v>32</v>
      </c>
      <c r="I67" s="2">
        <v>13</v>
      </c>
      <c r="J67" s="2">
        <v>7</v>
      </c>
      <c r="K67" s="2">
        <v>13</v>
      </c>
      <c r="L67" s="2">
        <v>2</v>
      </c>
      <c r="M67" s="2">
        <v>21</v>
      </c>
      <c r="N67" s="2">
        <f t="shared" ref="N67:N80" si="2">SUM(H67:M67)</f>
        <v>88</v>
      </c>
      <c r="O67" s="2">
        <f t="shared" ref="O67:O80" si="3">ROUND(N67/6,0)</f>
        <v>15</v>
      </c>
    </row>
    <row r="68" spans="1:15">
      <c r="A68" s="2">
        <v>67</v>
      </c>
      <c r="B68" s="3">
        <v>35</v>
      </c>
      <c r="C68" s="2" t="str">
        <f>VLOOKUP(B68,'Zone Reg'!K:L,2,0)</f>
        <v>Bardhaman</v>
      </c>
      <c r="D68" s="3">
        <v>353</v>
      </c>
      <c r="E68" s="2" t="str">
        <f>VLOOKUP(D68,'Zone Reg'!A:C,3,0)</f>
        <v>HOOGHLY</v>
      </c>
      <c r="F68" s="2" t="s">
        <v>7</v>
      </c>
      <c r="G68" s="2">
        <v>3533000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f t="shared" si="2"/>
        <v>0</v>
      </c>
      <c r="O68" s="2">
        <f t="shared" si="3"/>
        <v>0</v>
      </c>
    </row>
    <row r="69" spans="1:15">
      <c r="A69" s="2">
        <v>68</v>
      </c>
      <c r="B69" s="3">
        <v>35</v>
      </c>
      <c r="C69" s="2" t="str">
        <f>VLOOKUP(B69,'Zone Reg'!K:L,2,0)</f>
        <v>Bardhaman</v>
      </c>
      <c r="D69" s="3">
        <v>353</v>
      </c>
      <c r="E69" s="2" t="str">
        <f>VLOOKUP(D69,'Zone Reg'!A:C,3,0)</f>
        <v>HOOGHLY</v>
      </c>
      <c r="F69" s="2" t="s">
        <v>82</v>
      </c>
      <c r="G69" s="2">
        <v>3534000</v>
      </c>
      <c r="H69" s="2">
        <v>24</v>
      </c>
      <c r="I69" s="2">
        <v>0</v>
      </c>
      <c r="J69" s="2">
        <v>40</v>
      </c>
      <c r="K69" s="2">
        <v>34</v>
      </c>
      <c r="L69" s="2">
        <v>24</v>
      </c>
      <c r="M69" s="2">
        <v>27</v>
      </c>
      <c r="N69" s="2">
        <f t="shared" si="2"/>
        <v>149</v>
      </c>
      <c r="O69" s="2">
        <f t="shared" si="3"/>
        <v>25</v>
      </c>
    </row>
    <row r="70" spans="1:15">
      <c r="A70" s="2">
        <v>69</v>
      </c>
      <c r="B70" s="3">
        <v>35</v>
      </c>
      <c r="C70" s="2" t="str">
        <f>VLOOKUP(B70,'Zone Reg'!K:L,2,0)</f>
        <v>Bardhaman</v>
      </c>
      <c r="D70" s="3">
        <v>353</v>
      </c>
      <c r="E70" s="2" t="str">
        <f>VLOOKUP(D70,'Zone Reg'!A:C,3,0)</f>
        <v>HOOGHLY</v>
      </c>
      <c r="F70" s="2" t="s">
        <v>79</v>
      </c>
      <c r="G70" s="2">
        <v>3535000</v>
      </c>
      <c r="H70" s="2">
        <v>67</v>
      </c>
      <c r="I70" s="2">
        <v>65</v>
      </c>
      <c r="J70" s="2">
        <v>64</v>
      </c>
      <c r="K70" s="2">
        <v>92</v>
      </c>
      <c r="L70" s="2">
        <v>40</v>
      </c>
      <c r="M70" s="2">
        <v>39</v>
      </c>
      <c r="N70" s="2">
        <f t="shared" si="2"/>
        <v>367</v>
      </c>
      <c r="O70" s="2">
        <f t="shared" si="3"/>
        <v>61</v>
      </c>
    </row>
    <row r="71" spans="1:15">
      <c r="A71" s="2">
        <v>70</v>
      </c>
      <c r="B71" s="3">
        <v>35</v>
      </c>
      <c r="C71" s="2" t="str">
        <f>VLOOKUP(B71,'Zone Reg'!K:L,2,0)</f>
        <v>Bardhaman</v>
      </c>
      <c r="D71" s="3">
        <v>353</v>
      </c>
      <c r="E71" s="2" t="str">
        <f>VLOOKUP(D71,'Zone Reg'!A:C,3,0)</f>
        <v>HOOGHLY</v>
      </c>
      <c r="F71" s="2" t="s">
        <v>66</v>
      </c>
      <c r="G71" s="2">
        <v>3536000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f t="shared" si="2"/>
        <v>0</v>
      </c>
      <c r="O71" s="2">
        <f t="shared" si="3"/>
        <v>0</v>
      </c>
    </row>
    <row r="72" spans="1:15">
      <c r="A72" s="2">
        <v>71</v>
      </c>
      <c r="B72" s="3">
        <v>35</v>
      </c>
      <c r="C72" s="2" t="str">
        <f>VLOOKUP(B72,'Zone Reg'!K:L,2,0)</f>
        <v>Bardhaman</v>
      </c>
      <c r="D72" s="3">
        <v>354</v>
      </c>
      <c r="E72" s="2" t="str">
        <f>VLOOKUP(D72,'Zone Reg'!A:C,3,0)</f>
        <v>PASCHIM BURDWAN</v>
      </c>
      <c r="F72" s="2" t="s">
        <v>8</v>
      </c>
      <c r="G72" s="2">
        <v>3541000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f t="shared" si="2"/>
        <v>1</v>
      </c>
      <c r="O72" s="2">
        <f t="shared" si="3"/>
        <v>0</v>
      </c>
    </row>
    <row r="73" spans="1:15">
      <c r="A73" s="2">
        <v>72</v>
      </c>
      <c r="B73" s="3">
        <v>35</v>
      </c>
      <c r="C73" s="2" t="str">
        <f>VLOOKUP(B73,'Zone Reg'!K:L,2,0)</f>
        <v>Bardhaman</v>
      </c>
      <c r="D73" s="3">
        <v>354</v>
      </c>
      <c r="E73" s="2" t="str">
        <f>VLOOKUP(D73,'Zone Reg'!A:C,3,0)</f>
        <v>PASCHIM BURDWAN</v>
      </c>
      <c r="F73" s="2" t="s">
        <v>37</v>
      </c>
      <c r="G73" s="2">
        <v>3542000</v>
      </c>
      <c r="H73" s="2">
        <v>7</v>
      </c>
      <c r="I73" s="2">
        <v>22</v>
      </c>
      <c r="J73" s="2">
        <v>0</v>
      </c>
      <c r="K73" s="2">
        <v>8</v>
      </c>
      <c r="L73" s="2">
        <v>4</v>
      </c>
      <c r="M73" s="2">
        <v>0</v>
      </c>
      <c r="N73" s="2">
        <f t="shared" si="2"/>
        <v>41</v>
      </c>
      <c r="O73" s="2">
        <f t="shared" si="3"/>
        <v>7</v>
      </c>
    </row>
    <row r="74" spans="1:15">
      <c r="A74" s="2">
        <v>73</v>
      </c>
      <c r="B74" s="3">
        <v>66</v>
      </c>
      <c r="C74" s="2" t="str">
        <f>VLOOKUP(B74,'Zone Reg'!K:L,2,0)</f>
        <v>Malda</v>
      </c>
      <c r="D74" s="3">
        <v>661</v>
      </c>
      <c r="E74" s="2" t="str">
        <f>VLOOKUP(D74,'Zone Reg'!A:C,3,0)</f>
        <v>MALDA</v>
      </c>
      <c r="F74" s="2" t="s">
        <v>61</v>
      </c>
      <c r="G74" s="2">
        <v>6611000</v>
      </c>
      <c r="H74" s="2">
        <v>24</v>
      </c>
      <c r="I74" s="2">
        <v>28</v>
      </c>
      <c r="J74" s="2">
        <v>60</v>
      </c>
      <c r="K74" s="2">
        <v>19</v>
      </c>
      <c r="L74" s="2">
        <v>19</v>
      </c>
      <c r="M74" s="2">
        <v>20</v>
      </c>
      <c r="N74" s="2">
        <f t="shared" si="2"/>
        <v>170</v>
      </c>
      <c r="O74" s="2">
        <f t="shared" si="3"/>
        <v>28</v>
      </c>
    </row>
    <row r="75" spans="1:15">
      <c r="A75" s="2">
        <v>74</v>
      </c>
      <c r="B75" s="3">
        <v>66</v>
      </c>
      <c r="C75" s="2" t="str">
        <f>VLOOKUP(B75,'Zone Reg'!K:L,2,0)</f>
        <v>Malda</v>
      </c>
      <c r="D75" s="3">
        <v>661</v>
      </c>
      <c r="E75" s="2" t="str">
        <f>VLOOKUP(D75,'Zone Reg'!A:C,3,0)</f>
        <v>MALDA</v>
      </c>
      <c r="F75" s="2" t="s">
        <v>29</v>
      </c>
      <c r="G75" s="2">
        <v>6612000</v>
      </c>
      <c r="H75" s="2">
        <v>66</v>
      </c>
      <c r="I75" s="2">
        <v>66</v>
      </c>
      <c r="J75" s="2">
        <v>11</v>
      </c>
      <c r="K75" s="2">
        <v>13</v>
      </c>
      <c r="L75" s="2">
        <v>0</v>
      </c>
      <c r="M75" s="2">
        <v>30</v>
      </c>
      <c r="N75" s="2">
        <f t="shared" si="2"/>
        <v>186</v>
      </c>
      <c r="O75" s="2">
        <f t="shared" si="3"/>
        <v>31</v>
      </c>
    </row>
    <row r="76" spans="1:15">
      <c r="A76" s="2">
        <v>75</v>
      </c>
      <c r="B76" s="3">
        <v>66</v>
      </c>
      <c r="C76" s="2" t="str">
        <f>VLOOKUP(B76,'Zone Reg'!K:L,2,0)</f>
        <v>Malda</v>
      </c>
      <c r="D76" s="3">
        <v>661</v>
      </c>
      <c r="E76" s="2" t="str">
        <f>VLOOKUP(D76,'Zone Reg'!A:C,3,0)</f>
        <v>MALDA</v>
      </c>
      <c r="F76" s="2" t="s">
        <v>40</v>
      </c>
      <c r="G76" s="2">
        <v>6613000</v>
      </c>
      <c r="H76" s="2">
        <v>73</v>
      </c>
      <c r="I76" s="2">
        <v>75</v>
      </c>
      <c r="J76" s="2">
        <v>2</v>
      </c>
      <c r="K76" s="2">
        <v>2</v>
      </c>
      <c r="L76" s="2">
        <v>9</v>
      </c>
      <c r="M76" s="2">
        <v>70</v>
      </c>
      <c r="N76" s="2">
        <f t="shared" si="2"/>
        <v>231</v>
      </c>
      <c r="O76" s="2">
        <f t="shared" si="3"/>
        <v>39</v>
      </c>
    </row>
    <row r="77" spans="1:15">
      <c r="A77" s="2">
        <v>76</v>
      </c>
      <c r="B77" s="3">
        <v>66</v>
      </c>
      <c r="C77" s="2" t="str">
        <f>VLOOKUP(B77,'Zone Reg'!K:L,2,0)</f>
        <v>Malda</v>
      </c>
      <c r="D77" s="3">
        <v>662</v>
      </c>
      <c r="E77" s="2" t="str">
        <f>VLOOKUP(D77,'Zone Reg'!A:C,3,0)</f>
        <v>UTTAR DINAJPUR</v>
      </c>
      <c r="F77" s="2" t="s">
        <v>73</v>
      </c>
      <c r="G77" s="2">
        <v>6621000</v>
      </c>
      <c r="H77" s="2">
        <v>200</v>
      </c>
      <c r="I77" s="2">
        <v>1</v>
      </c>
      <c r="J77" s="2">
        <v>2</v>
      </c>
      <c r="K77" s="2">
        <v>8</v>
      </c>
      <c r="L77" s="2">
        <v>11</v>
      </c>
      <c r="M77" s="2">
        <v>9</v>
      </c>
      <c r="N77" s="2">
        <f t="shared" si="2"/>
        <v>231</v>
      </c>
      <c r="O77" s="2">
        <f t="shared" si="3"/>
        <v>39</v>
      </c>
    </row>
    <row r="78" spans="1:15">
      <c r="A78" s="2">
        <v>77</v>
      </c>
      <c r="B78" s="3">
        <v>66</v>
      </c>
      <c r="C78" s="2" t="str">
        <f>VLOOKUP(B78,'Zone Reg'!K:L,2,0)</f>
        <v>Malda</v>
      </c>
      <c r="D78" s="3">
        <v>662</v>
      </c>
      <c r="E78" s="2" t="str">
        <f>VLOOKUP(D78,'Zone Reg'!A:C,3,0)</f>
        <v>UTTAR DINAJPUR</v>
      </c>
      <c r="F78" s="2" t="s">
        <v>46</v>
      </c>
      <c r="G78" s="2">
        <v>6622000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4</v>
      </c>
      <c r="N78" s="2">
        <f t="shared" si="2"/>
        <v>4</v>
      </c>
      <c r="O78" s="2">
        <f t="shared" si="3"/>
        <v>1</v>
      </c>
    </row>
    <row r="79" spans="1:15">
      <c r="A79" s="2">
        <v>78</v>
      </c>
      <c r="B79" s="3">
        <v>66</v>
      </c>
      <c r="C79" s="2" t="str">
        <f>VLOOKUP(B79,'Zone Reg'!K:L,2,0)</f>
        <v>Malda</v>
      </c>
      <c r="D79" s="3">
        <v>663</v>
      </c>
      <c r="E79" s="2" t="str">
        <f>VLOOKUP(D79,'Zone Reg'!A:C,3,0)</f>
        <v>DAKSHIN DINAJPUR</v>
      </c>
      <c r="F79" s="2" t="s">
        <v>10</v>
      </c>
      <c r="G79" s="2">
        <v>6631000</v>
      </c>
      <c r="H79" s="2">
        <v>32</v>
      </c>
      <c r="I79" s="2">
        <v>0</v>
      </c>
      <c r="J79" s="2">
        <v>9</v>
      </c>
      <c r="K79" s="2">
        <v>10</v>
      </c>
      <c r="L79" s="2">
        <v>4</v>
      </c>
      <c r="M79" s="2">
        <v>98</v>
      </c>
      <c r="N79" s="2">
        <f t="shared" si="2"/>
        <v>153</v>
      </c>
      <c r="O79" s="2">
        <f t="shared" si="3"/>
        <v>26</v>
      </c>
    </row>
    <row r="80" spans="1:15">
      <c r="A80" s="2">
        <v>79</v>
      </c>
      <c r="B80" s="3">
        <v>66</v>
      </c>
      <c r="C80" s="2" t="str">
        <f>VLOOKUP(B80,'Zone Reg'!K:L,2,0)</f>
        <v>Malda</v>
      </c>
      <c r="D80" s="3">
        <v>663</v>
      </c>
      <c r="E80" s="2" t="str">
        <f>VLOOKUP(D80,'Zone Reg'!A:C,3,0)</f>
        <v>DAKSHIN DINAJPUR</v>
      </c>
      <c r="F80" s="2" t="s">
        <v>25</v>
      </c>
      <c r="G80" s="2">
        <v>6632000</v>
      </c>
      <c r="H80" s="2">
        <v>30</v>
      </c>
      <c r="I80" s="2">
        <v>0</v>
      </c>
      <c r="J80" s="2">
        <v>12</v>
      </c>
      <c r="K80" s="2">
        <v>0</v>
      </c>
      <c r="L80" s="2">
        <v>0</v>
      </c>
      <c r="M80" s="2">
        <v>28</v>
      </c>
      <c r="N80" s="2">
        <f t="shared" si="2"/>
        <v>70</v>
      </c>
      <c r="O80" s="2">
        <f t="shared" si="3"/>
        <v>12</v>
      </c>
    </row>
    <row r="81" spans="14:15">
      <c r="N81" s="7"/>
      <c r="O81" s="7"/>
    </row>
    <row r="82" spans="14:15">
      <c r="N82" s="7"/>
      <c r="O82" s="7"/>
    </row>
  </sheetData>
  <sortState ref="F2:M80">
    <sortCondition ref="G2:G8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selection sqref="A1:M1048576"/>
    </sheetView>
  </sheetViews>
  <sheetFormatPr defaultRowHeight="14.4"/>
  <cols>
    <col min="3" max="3" width="26.33203125" customWidth="1"/>
  </cols>
  <sheetData>
    <row r="1" spans="1:12" ht="15" customHeight="1">
      <c r="A1" s="1">
        <v>311</v>
      </c>
      <c r="B1" s="1" t="str">
        <f t="shared" ref="B1:B23" si="0">A1&amp;" Total"</f>
        <v>311 Total</v>
      </c>
      <c r="C1" s="1" t="s">
        <v>85</v>
      </c>
      <c r="D1" s="1">
        <v>311</v>
      </c>
      <c r="K1">
        <v>31</v>
      </c>
      <c r="L1" t="s">
        <v>113</v>
      </c>
    </row>
    <row r="2" spans="1:12" ht="15" customHeight="1">
      <c r="A2" s="1">
        <v>312</v>
      </c>
      <c r="B2" s="1" t="str">
        <f t="shared" si="0"/>
        <v>312 Total</v>
      </c>
      <c r="C2" s="1" t="s">
        <v>86</v>
      </c>
      <c r="D2" s="1">
        <v>312</v>
      </c>
      <c r="K2">
        <v>32</v>
      </c>
      <c r="L2" t="s">
        <v>114</v>
      </c>
    </row>
    <row r="3" spans="1:12" ht="15" customHeight="1">
      <c r="A3" s="1">
        <v>313</v>
      </c>
      <c r="B3" s="1" t="str">
        <f t="shared" si="0"/>
        <v>313 Total</v>
      </c>
      <c r="C3" s="1" t="s">
        <v>87</v>
      </c>
      <c r="D3" s="1">
        <v>313</v>
      </c>
      <c r="K3">
        <v>33</v>
      </c>
      <c r="L3" t="s">
        <v>115</v>
      </c>
    </row>
    <row r="4" spans="1:12" ht="15" customHeight="1">
      <c r="A4" s="1">
        <v>315</v>
      </c>
      <c r="B4" s="1" t="str">
        <f t="shared" si="0"/>
        <v>315 Total</v>
      </c>
      <c r="C4" s="1" t="s">
        <v>88</v>
      </c>
      <c r="D4" s="1">
        <v>315</v>
      </c>
      <c r="K4">
        <v>34</v>
      </c>
      <c r="L4" t="s">
        <v>116</v>
      </c>
    </row>
    <row r="5" spans="1:12" ht="15" customHeight="1">
      <c r="A5" s="1">
        <v>321</v>
      </c>
      <c r="B5" s="1" t="str">
        <f t="shared" si="0"/>
        <v>321 Total</v>
      </c>
      <c r="C5" s="1" t="s">
        <v>89</v>
      </c>
      <c r="D5" s="1">
        <v>321</v>
      </c>
      <c r="K5">
        <v>35</v>
      </c>
      <c r="L5" t="s">
        <v>117</v>
      </c>
    </row>
    <row r="6" spans="1:12" ht="15" customHeight="1">
      <c r="A6" s="1">
        <v>322</v>
      </c>
      <c r="B6" s="1" t="str">
        <f t="shared" si="0"/>
        <v>322 Total</v>
      </c>
      <c r="C6" s="1" t="s">
        <v>90</v>
      </c>
      <c r="D6" s="1">
        <v>322</v>
      </c>
      <c r="K6">
        <v>66</v>
      </c>
      <c r="L6" t="s">
        <v>118</v>
      </c>
    </row>
    <row r="7" spans="1:12" ht="15" customHeight="1">
      <c r="A7" s="1">
        <v>323</v>
      </c>
      <c r="B7" s="1" t="str">
        <f t="shared" si="0"/>
        <v>323 Total</v>
      </c>
      <c r="C7" s="1" t="s">
        <v>91</v>
      </c>
      <c r="D7" s="1">
        <v>323</v>
      </c>
    </row>
    <row r="8" spans="1:12" ht="15" customHeight="1">
      <c r="A8" s="1">
        <v>324</v>
      </c>
      <c r="B8" s="1" t="str">
        <f t="shared" si="0"/>
        <v>324 Total</v>
      </c>
      <c r="C8" s="1" t="s">
        <v>92</v>
      </c>
      <c r="D8" s="1">
        <v>324</v>
      </c>
    </row>
    <row r="9" spans="1:12" ht="15" customHeight="1">
      <c r="A9" s="1">
        <v>325</v>
      </c>
      <c r="B9" s="1" t="str">
        <f t="shared" si="0"/>
        <v>325 Total</v>
      </c>
      <c r="C9" s="1" t="s">
        <v>93</v>
      </c>
      <c r="D9" s="1">
        <v>325</v>
      </c>
    </row>
    <row r="10" spans="1:12" ht="15" customHeight="1">
      <c r="A10" s="1">
        <v>331</v>
      </c>
      <c r="B10" s="1" t="str">
        <f t="shared" si="0"/>
        <v>331 Total</v>
      </c>
      <c r="C10" s="1" t="s">
        <v>94</v>
      </c>
      <c r="D10" s="1">
        <v>331</v>
      </c>
    </row>
    <row r="11" spans="1:12" ht="15" customHeight="1">
      <c r="A11" s="1">
        <v>333</v>
      </c>
      <c r="B11" s="1" t="str">
        <f t="shared" si="0"/>
        <v>333 Total</v>
      </c>
      <c r="C11" s="1" t="s">
        <v>95</v>
      </c>
      <c r="D11" s="1">
        <v>333</v>
      </c>
    </row>
    <row r="12" spans="1:12" ht="15" customHeight="1">
      <c r="A12" s="1">
        <v>341</v>
      </c>
      <c r="B12" s="1" t="str">
        <f t="shared" si="0"/>
        <v>341 Total</v>
      </c>
      <c r="C12" s="1" t="s">
        <v>96</v>
      </c>
      <c r="D12" s="1">
        <v>341</v>
      </c>
    </row>
    <row r="13" spans="1:12" ht="15" customHeight="1">
      <c r="A13" s="1">
        <v>342</v>
      </c>
      <c r="B13" s="1" t="str">
        <f t="shared" si="0"/>
        <v>342 Total</v>
      </c>
      <c r="C13" s="1" t="s">
        <v>97</v>
      </c>
      <c r="D13" s="1">
        <v>342</v>
      </c>
    </row>
    <row r="14" spans="1:12" ht="15" customHeight="1">
      <c r="A14" s="1">
        <v>344</v>
      </c>
      <c r="B14" s="1" t="str">
        <f t="shared" si="0"/>
        <v>344 Total</v>
      </c>
      <c r="C14" s="1" t="s">
        <v>98</v>
      </c>
      <c r="D14" s="1">
        <v>344</v>
      </c>
    </row>
    <row r="15" spans="1:12" ht="15" customHeight="1">
      <c r="A15" s="1">
        <v>345</v>
      </c>
      <c r="B15" s="1" t="str">
        <f t="shared" si="0"/>
        <v>345 Total</v>
      </c>
      <c r="C15" s="1" t="s">
        <v>99</v>
      </c>
      <c r="D15" s="1">
        <v>345</v>
      </c>
    </row>
    <row r="16" spans="1:12" ht="15" customHeight="1">
      <c r="A16" s="1">
        <v>347</v>
      </c>
      <c r="B16" s="1" t="str">
        <f t="shared" si="0"/>
        <v>347 Total</v>
      </c>
      <c r="C16" s="1" t="s">
        <v>100</v>
      </c>
      <c r="D16" s="1">
        <v>347</v>
      </c>
    </row>
    <row r="17" spans="1:4" ht="15" customHeight="1">
      <c r="A17" s="1">
        <v>351</v>
      </c>
      <c r="B17" s="1" t="str">
        <f t="shared" si="0"/>
        <v>351 Total</v>
      </c>
      <c r="C17" s="1" t="s">
        <v>101</v>
      </c>
      <c r="D17" s="1">
        <v>351</v>
      </c>
    </row>
    <row r="18" spans="1:4" ht="15" customHeight="1">
      <c r="A18" s="1">
        <v>352</v>
      </c>
      <c r="B18" s="1" t="str">
        <f t="shared" si="0"/>
        <v>352 Total</v>
      </c>
      <c r="C18" s="1" t="s">
        <v>102</v>
      </c>
      <c r="D18" s="1">
        <v>352</v>
      </c>
    </row>
    <row r="19" spans="1:4" ht="15" customHeight="1">
      <c r="A19" s="1">
        <v>353</v>
      </c>
      <c r="B19" s="1" t="str">
        <f t="shared" si="0"/>
        <v>353 Total</v>
      </c>
      <c r="C19" s="1" t="s">
        <v>103</v>
      </c>
      <c r="D19" s="1">
        <v>353</v>
      </c>
    </row>
    <row r="20" spans="1:4" ht="15" customHeight="1">
      <c r="A20" s="1">
        <v>354</v>
      </c>
      <c r="B20" s="1" t="str">
        <f t="shared" si="0"/>
        <v>354 Total</v>
      </c>
      <c r="C20" s="1" t="s">
        <v>104</v>
      </c>
      <c r="D20" s="1">
        <v>354</v>
      </c>
    </row>
    <row r="21" spans="1:4" ht="15" customHeight="1">
      <c r="A21" s="1">
        <v>661</v>
      </c>
      <c r="B21" s="1" t="str">
        <f t="shared" si="0"/>
        <v>661 Total</v>
      </c>
      <c r="C21" s="1" t="s">
        <v>105</v>
      </c>
      <c r="D21" s="1">
        <v>661</v>
      </c>
    </row>
    <row r="22" spans="1:4" ht="15" customHeight="1">
      <c r="A22" s="1">
        <v>662</v>
      </c>
      <c r="B22" s="1" t="str">
        <f t="shared" si="0"/>
        <v>662 Total</v>
      </c>
      <c r="C22" s="1" t="s">
        <v>106</v>
      </c>
      <c r="D22" s="1">
        <v>662</v>
      </c>
    </row>
    <row r="23" spans="1:4" ht="15" customHeight="1">
      <c r="A23" s="1">
        <v>663</v>
      </c>
      <c r="B23" s="1" t="str">
        <f t="shared" si="0"/>
        <v>663 Total</v>
      </c>
      <c r="C23" s="1" t="s">
        <v>107</v>
      </c>
      <c r="D23" s="1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Zone Reg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KRISHNENDU</dc:creator>
  <cp:lastModifiedBy>KRISHNENDU</cp:lastModifiedBy>
  <dcterms:created xsi:type="dcterms:W3CDTF">2026-03-03T06:41:39Z</dcterms:created>
  <dcterms:modified xsi:type="dcterms:W3CDTF">2026-03-03T07:02:55Z</dcterms:modified>
</cp:coreProperties>
</file>